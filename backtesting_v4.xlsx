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ing v4.0" sheetId="1" state="visible" r:id="rId1"/>
    <sheet xmlns:r="http://schemas.openxmlformats.org/officeDocument/2006/relationships" name="Resumen por 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-yyyy"/>
    <numFmt numFmtId="165" formatCode="hh:mm"/>
    <numFmt numFmtId="166" formatCode="0.0"/>
    <numFmt numFmtId="167" formatCode="0.0&quot;%&quot;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C00000"/>
      <sz val="11"/>
    </font>
    <font>
      <i val="1"/>
      <sz val="9"/>
    </font>
    <font>
      <b val="1"/>
      <color rgb="00FFFFFF"/>
      <sz val="10"/>
    </font>
    <font>
      <b val="1"/>
      <color rgb="00FFFFFF"/>
      <sz val="12"/>
    </font>
    <font>
      <b val="1"/>
      <sz val="10"/>
    </font>
    <font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D9E8F5"/>
        <bgColor rgb="00D9E8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  <xf numFmtId="166" fontId="0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6" fillId="5" borderId="0" pivotButton="0" quotePrefix="0" xfId="0"/>
    <xf numFmtId="0" fontId="7" fillId="6" borderId="0" pivotButton="0" quotePrefix="0" xfId="0"/>
    <xf numFmtId="2" fontId="2" fillId="7" borderId="0" pivotButton="0" quotePrefix="0" xfId="0"/>
    <xf numFmtId="167" fontId="2" fillId="7" borderId="0" pivotButton="0" quotePrefix="0" xfId="0"/>
    <xf numFmtId="0" fontId="8" fillId="0" borderId="0" pivotButton="0" quotePrefix="0" xfId="0"/>
    <xf numFmtId="0" fontId="6" fillId="2" borderId="0" pivotButton="0" quotePrefix="0" xfId="0"/>
    <xf numFmtId="0" fontId="9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13" customWidth="1" min="14" max="14"/>
    <col width="10" customWidth="1" min="15" max="15"/>
    <col width="20" customWidth="1" min="16" max="16"/>
  </cols>
  <sheetData>
    <row r="1">
      <c r="A1" s="1" t="inlineStr">
        <is>
          <t>BACKTESTING DETALLADO - BOT v4.0</t>
        </is>
      </c>
    </row>
    <row r="2">
      <c r="A2" s="2" t="inlineStr">
        <is>
          <t>Fecha: 2026-04-09</t>
        </is>
      </c>
    </row>
    <row r="4">
      <c r="A4" s="3" t="inlineStr">
        <is>
          <t>INSTRUCCIONES:</t>
        </is>
      </c>
    </row>
    <row r="5">
      <c r="A5" s="4" t="inlineStr">
        <is>
          <t>1. Completa cada fila con UN TRADE que tu bot habría abierto</t>
        </is>
      </c>
    </row>
    <row r="6">
      <c r="A6" s="4" t="inlineStr">
        <is>
          <t>2. Usa TradingView Replay para simular en tiempo real</t>
        </is>
      </c>
    </row>
    <row r="7">
      <c r="A7" s="4" t="inlineStr">
        <is>
          <t>3. Registra: Tier, Entry, SL, TP1, TP2, MFI, ZLSMA, ADX, Precio de salida</t>
        </is>
      </c>
    </row>
    <row r="8">
      <c r="A8" s="4" t="inlineStr">
        <is>
          <t>4. Resultado = (Salida - Entry) / (Entry - SL) en unidades R</t>
        </is>
      </c>
    </row>
    <row r="9">
      <c r="A9" s="4" t="inlineStr">
        <is>
          <t>5. Las métricas se calculan automáticamente abajo</t>
        </is>
      </c>
    </row>
    <row r="10">
      <c r="A10" s="4" t="inlineStr">
        <is>
          <t>6. Target: Win Rate ≥65%, Expectancy ≥+0.5R</t>
        </is>
      </c>
    </row>
    <row r="12" ht="25" customHeight="1">
      <c r="A12" s="5" t="inlineStr">
        <is>
          <t>Fecha</t>
        </is>
      </c>
      <c r="B12" s="5" t="inlineStr">
        <is>
          <t>Hora</t>
        </is>
      </c>
      <c r="C12" s="5" t="inlineStr">
        <is>
          <t>Par</t>
        </is>
      </c>
      <c r="D12" s="5" t="inlineStr">
        <is>
          <t>Tier</t>
        </is>
      </c>
      <c r="E12" s="5" t="inlineStr">
        <is>
          <t>Direction</t>
        </is>
      </c>
      <c r="F12" s="5" t="inlineStr">
        <is>
          <t>Entry</t>
        </is>
      </c>
      <c r="G12" s="5" t="inlineStr">
        <is>
          <t>SL</t>
        </is>
      </c>
      <c r="H12" s="5" t="inlineStr">
        <is>
          <t>TP1</t>
        </is>
      </c>
      <c r="I12" s="5" t="inlineStr">
        <is>
          <t>TP2</t>
        </is>
      </c>
      <c r="J12" s="5" t="inlineStr">
        <is>
          <t>MFI</t>
        </is>
      </c>
      <c r="K12" s="5" t="inlineStr">
        <is>
          <t>ZLSMA %</t>
        </is>
      </c>
      <c r="L12" s="5" t="inlineStr">
        <is>
          <t>ADX</t>
        </is>
      </c>
      <c r="M12" s="5" t="inlineStr">
        <is>
          <t>Salida Real</t>
        </is>
      </c>
      <c r="N12" s="5" t="inlineStr">
        <is>
          <t>Resultado (R)</t>
        </is>
      </c>
      <c r="O12" s="5" t="inlineStr">
        <is>
          <t>Win</t>
        </is>
      </c>
      <c r="P12" s="5" t="inlineStr">
        <is>
          <t>Notas</t>
        </is>
      </c>
    </row>
    <row r="13">
      <c r="A13" s="6" t="inlineStr">
        <is>
          <t>2024-01-15</t>
        </is>
      </c>
      <c r="B13" s="7" t="inlineStr">
        <is>
          <t>15:45</t>
        </is>
      </c>
      <c r="C13" s="8" t="inlineStr">
        <is>
          <t>BTC-USDT</t>
        </is>
      </c>
      <c r="D13" s="8" t="inlineStr">
        <is>
          <t>A</t>
        </is>
      </c>
      <c r="E13" s="8" t="inlineStr">
        <is>
          <t>LONG</t>
        </is>
      </c>
      <c r="F13" s="9" t="n">
        <v>42500</v>
      </c>
      <c r="G13" s="9" t="n">
        <v>42350</v>
      </c>
      <c r="H13" s="9" t="n">
        <v>42650</v>
      </c>
      <c r="I13" s="9" t="n">
        <v>42800</v>
      </c>
      <c r="J13" s="10" t="n">
        <v>35</v>
      </c>
      <c r="K13" s="10" t="inlineStr">
        <is>
          <t>+0.8</t>
        </is>
      </c>
      <c r="L13" s="10" t="n">
        <v>28</v>
      </c>
      <c r="M13" s="9" t="n">
        <v>42750</v>
      </c>
      <c r="N13" s="9">
        <f>IF(D13="LONG",(M13-F13)/(F13-G13),(H13-M13)/(H13-G13))</f>
        <v/>
      </c>
      <c r="O13" s="8">
        <f>IF(N13&gt;0,1,0)</f>
        <v/>
      </c>
      <c r="P13" s="8" t="inlineStr">
        <is>
          <t>Clean entry on ZLSMA bounce</t>
        </is>
      </c>
    </row>
    <row r="14">
      <c r="A14" s="11" t="n"/>
      <c r="B14" s="11" t="n"/>
      <c r="C14" s="11" t="n"/>
      <c r="D14" s="11" t="n"/>
      <c r="E14" s="11" t="n"/>
      <c r="F14" s="12" t="n"/>
      <c r="G14" s="12" t="n"/>
      <c r="H14" s="12" t="n"/>
      <c r="I14" s="12" t="n"/>
      <c r="J14" s="13" t="n"/>
      <c r="K14" s="13" t="n"/>
      <c r="L14" s="13" t="n"/>
      <c r="M14" s="12" t="n"/>
      <c r="N14" s="12">
        <f>IF(AND(F14&lt;&gt;"",G14&lt;&gt;"",M14&lt;&gt;""),IF(D14="LONG",(M14-F14)/(F14-G14),(H14-M14)/(H14-G14)),"")</f>
        <v/>
      </c>
      <c r="O14" s="14">
        <f>IF(N14&gt;0,1,IF(N14&lt;0,0,""))</f>
        <v/>
      </c>
      <c r="P14" s="11" t="n"/>
    </row>
    <row r="15">
      <c r="A15" s="11" t="n"/>
      <c r="B15" s="11" t="n"/>
      <c r="C15" s="11" t="n"/>
      <c r="D15" s="11" t="n"/>
      <c r="E15" s="11" t="n"/>
      <c r="F15" s="12" t="n"/>
      <c r="G15" s="12" t="n"/>
      <c r="H15" s="12" t="n"/>
      <c r="I15" s="12" t="n"/>
      <c r="J15" s="13" t="n"/>
      <c r="K15" s="13" t="n"/>
      <c r="L15" s="13" t="n"/>
      <c r="M15" s="12" t="n"/>
      <c r="N15" s="12">
        <f>IF(AND(F15&lt;&gt;"",G15&lt;&gt;"",M15&lt;&gt;""),IF(D15="LONG",(M15-F15)/(F15-G15),(H15-M15)/(H15-G15)),"")</f>
        <v/>
      </c>
      <c r="O15" s="14">
        <f>IF(N15&gt;0,1,IF(N15&lt;0,0,""))</f>
        <v/>
      </c>
      <c r="P15" s="11" t="n"/>
    </row>
    <row r="16">
      <c r="A16" s="11" t="n"/>
      <c r="B16" s="11" t="n"/>
      <c r="C16" s="11" t="n"/>
      <c r="D16" s="11" t="n"/>
      <c r="E16" s="11" t="n"/>
      <c r="F16" s="12" t="n"/>
      <c r="G16" s="12" t="n"/>
      <c r="H16" s="12" t="n"/>
      <c r="I16" s="12" t="n"/>
      <c r="J16" s="13" t="n"/>
      <c r="K16" s="13" t="n"/>
      <c r="L16" s="13" t="n"/>
      <c r="M16" s="12" t="n"/>
      <c r="N16" s="12">
        <f>IF(AND(F16&lt;&gt;"",G16&lt;&gt;"",M16&lt;&gt;""),IF(D16="LONG",(M16-F16)/(F16-G16),(H16-M16)/(H16-G16)),"")</f>
        <v/>
      </c>
      <c r="O16" s="14">
        <f>IF(N16&gt;0,1,IF(N16&lt;0,0,""))</f>
        <v/>
      </c>
      <c r="P16" s="11" t="n"/>
    </row>
    <row r="17">
      <c r="A17" s="11" t="n"/>
      <c r="B17" s="11" t="n"/>
      <c r="C17" s="11" t="n"/>
      <c r="D17" s="11" t="n"/>
      <c r="E17" s="11" t="n"/>
      <c r="F17" s="12" t="n"/>
      <c r="G17" s="12" t="n"/>
      <c r="H17" s="12" t="n"/>
      <c r="I17" s="12" t="n"/>
      <c r="J17" s="13" t="n"/>
      <c r="K17" s="13" t="n"/>
      <c r="L17" s="13" t="n"/>
      <c r="M17" s="12" t="n"/>
      <c r="N17" s="12">
        <f>IF(AND(F17&lt;&gt;"",G17&lt;&gt;"",M17&lt;&gt;""),IF(D17="LONG",(M17-F17)/(F17-G17),(H17-M17)/(H17-G17)),"")</f>
        <v/>
      </c>
      <c r="O17" s="14">
        <f>IF(N17&gt;0,1,IF(N17&lt;0,0,""))</f>
        <v/>
      </c>
      <c r="P17" s="11" t="n"/>
    </row>
    <row r="18">
      <c r="A18" s="11" t="n"/>
      <c r="B18" s="11" t="n"/>
      <c r="C18" s="11" t="n"/>
      <c r="D18" s="11" t="n"/>
      <c r="E18" s="11" t="n"/>
      <c r="F18" s="12" t="n"/>
      <c r="G18" s="12" t="n"/>
      <c r="H18" s="12" t="n"/>
      <c r="I18" s="12" t="n"/>
      <c r="J18" s="13" t="n"/>
      <c r="K18" s="13" t="n"/>
      <c r="L18" s="13" t="n"/>
      <c r="M18" s="12" t="n"/>
      <c r="N18" s="12">
        <f>IF(AND(F18&lt;&gt;"",G18&lt;&gt;"",M18&lt;&gt;""),IF(D18="LONG",(M18-F18)/(F18-G18),(H18-M18)/(H18-G18)),"")</f>
        <v/>
      </c>
      <c r="O18" s="14">
        <f>IF(N18&gt;0,1,IF(N18&lt;0,0,""))</f>
        <v/>
      </c>
      <c r="P18" s="11" t="n"/>
    </row>
    <row r="19">
      <c r="A19" s="11" t="n"/>
      <c r="B19" s="11" t="n"/>
      <c r="C19" s="11" t="n"/>
      <c r="D19" s="11" t="n"/>
      <c r="E19" s="11" t="n"/>
      <c r="F19" s="12" t="n"/>
      <c r="G19" s="12" t="n"/>
      <c r="H19" s="12" t="n"/>
      <c r="I19" s="12" t="n"/>
      <c r="J19" s="13" t="n"/>
      <c r="K19" s="13" t="n"/>
      <c r="L19" s="13" t="n"/>
      <c r="M19" s="12" t="n"/>
      <c r="N19" s="12">
        <f>IF(AND(F19&lt;&gt;"",G19&lt;&gt;"",M19&lt;&gt;""),IF(D19="LONG",(M19-F19)/(F19-G19),(H19-M19)/(H19-G19)),"")</f>
        <v/>
      </c>
      <c r="O19" s="14">
        <f>IF(N19&gt;0,1,IF(N19&lt;0,0,""))</f>
        <v/>
      </c>
      <c r="P19" s="11" t="n"/>
    </row>
    <row r="20">
      <c r="A20" s="11" t="n"/>
      <c r="B20" s="11" t="n"/>
      <c r="C20" s="11" t="n"/>
      <c r="D20" s="11" t="n"/>
      <c r="E20" s="11" t="n"/>
      <c r="F20" s="12" t="n"/>
      <c r="G20" s="12" t="n"/>
      <c r="H20" s="12" t="n"/>
      <c r="I20" s="12" t="n"/>
      <c r="J20" s="13" t="n"/>
      <c r="K20" s="13" t="n"/>
      <c r="L20" s="13" t="n"/>
      <c r="M20" s="12" t="n"/>
      <c r="N20" s="12">
        <f>IF(AND(F20&lt;&gt;"",G20&lt;&gt;"",M20&lt;&gt;""),IF(D20="LONG",(M20-F20)/(F20-G20),(H20-M20)/(H20-G20)),"")</f>
        <v/>
      </c>
      <c r="O20" s="14">
        <f>IF(N20&gt;0,1,IF(N20&lt;0,0,""))</f>
        <v/>
      </c>
      <c r="P20" s="11" t="n"/>
    </row>
    <row r="21">
      <c r="A21" s="11" t="n"/>
      <c r="B21" s="11" t="n"/>
      <c r="C21" s="11" t="n"/>
      <c r="D21" s="11" t="n"/>
      <c r="E21" s="11" t="n"/>
      <c r="F21" s="12" t="n"/>
      <c r="G21" s="12" t="n"/>
      <c r="H21" s="12" t="n"/>
      <c r="I21" s="12" t="n"/>
      <c r="J21" s="13" t="n"/>
      <c r="K21" s="13" t="n"/>
      <c r="L21" s="13" t="n"/>
      <c r="M21" s="12" t="n"/>
      <c r="N21" s="12">
        <f>IF(AND(F21&lt;&gt;"",G21&lt;&gt;"",M21&lt;&gt;""),IF(D21="LONG",(M21-F21)/(F21-G21),(H21-M21)/(H21-G21)),"")</f>
        <v/>
      </c>
      <c r="O21" s="14">
        <f>IF(N21&gt;0,1,IF(N21&lt;0,0,""))</f>
        <v/>
      </c>
      <c r="P21" s="11" t="n"/>
    </row>
    <row r="22">
      <c r="A22" s="11" t="n"/>
      <c r="B22" s="11" t="n"/>
      <c r="C22" s="11" t="n"/>
      <c r="D22" s="11" t="n"/>
      <c r="E22" s="11" t="n"/>
      <c r="F22" s="12" t="n"/>
      <c r="G22" s="12" t="n"/>
      <c r="H22" s="12" t="n"/>
      <c r="I22" s="12" t="n"/>
      <c r="J22" s="13" t="n"/>
      <c r="K22" s="13" t="n"/>
      <c r="L22" s="13" t="n"/>
      <c r="M22" s="12" t="n"/>
      <c r="N22" s="12">
        <f>IF(AND(F22&lt;&gt;"",G22&lt;&gt;"",M22&lt;&gt;""),IF(D22="LONG",(M22-F22)/(F22-G22),(H22-M22)/(H22-G22)),"")</f>
        <v/>
      </c>
      <c r="O22" s="14">
        <f>IF(N22&gt;0,1,IF(N22&lt;0,0,""))</f>
        <v/>
      </c>
      <c r="P22" s="11" t="n"/>
    </row>
    <row r="23">
      <c r="A23" s="11" t="n"/>
      <c r="B23" s="11" t="n"/>
      <c r="C23" s="11" t="n"/>
      <c r="D23" s="11" t="n"/>
      <c r="E23" s="11" t="n"/>
      <c r="F23" s="12" t="n"/>
      <c r="G23" s="12" t="n"/>
      <c r="H23" s="12" t="n"/>
      <c r="I23" s="12" t="n"/>
      <c r="J23" s="13" t="n"/>
      <c r="K23" s="13" t="n"/>
      <c r="L23" s="13" t="n"/>
      <c r="M23" s="12" t="n"/>
      <c r="N23" s="12">
        <f>IF(AND(F23&lt;&gt;"",G23&lt;&gt;"",M23&lt;&gt;""),IF(D23="LONG",(M23-F23)/(F23-G23),(H23-M23)/(H23-G23)),"")</f>
        <v/>
      </c>
      <c r="O23" s="14">
        <f>IF(N23&gt;0,1,IF(N23&lt;0,0,""))</f>
        <v/>
      </c>
      <c r="P23" s="11" t="n"/>
    </row>
    <row r="24">
      <c r="A24" s="11" t="n"/>
      <c r="B24" s="11" t="n"/>
      <c r="C24" s="11" t="n"/>
      <c r="D24" s="11" t="n"/>
      <c r="E24" s="11" t="n"/>
      <c r="F24" s="12" t="n"/>
      <c r="G24" s="12" t="n"/>
      <c r="H24" s="12" t="n"/>
      <c r="I24" s="12" t="n"/>
      <c r="J24" s="13" t="n"/>
      <c r="K24" s="13" t="n"/>
      <c r="L24" s="13" t="n"/>
      <c r="M24" s="12" t="n"/>
      <c r="N24" s="12">
        <f>IF(AND(F24&lt;&gt;"",G24&lt;&gt;"",M24&lt;&gt;""),IF(D24="LONG",(M24-F24)/(F24-G24),(H24-M24)/(H24-G24)),"")</f>
        <v/>
      </c>
      <c r="O24" s="14">
        <f>IF(N24&gt;0,1,IF(N24&lt;0,0,""))</f>
        <v/>
      </c>
      <c r="P24" s="11" t="n"/>
    </row>
    <row r="25">
      <c r="A25" s="11" t="n"/>
      <c r="B25" s="11" t="n"/>
      <c r="C25" s="11" t="n"/>
      <c r="D25" s="11" t="n"/>
      <c r="E25" s="11" t="n"/>
      <c r="F25" s="12" t="n"/>
      <c r="G25" s="12" t="n"/>
      <c r="H25" s="12" t="n"/>
      <c r="I25" s="12" t="n"/>
      <c r="J25" s="13" t="n"/>
      <c r="K25" s="13" t="n"/>
      <c r="L25" s="13" t="n"/>
      <c r="M25" s="12" t="n"/>
      <c r="N25" s="12">
        <f>IF(AND(F25&lt;&gt;"",G25&lt;&gt;"",M25&lt;&gt;""),IF(D25="LONG",(M25-F25)/(F25-G25),(H25-M25)/(H25-G25)),"")</f>
        <v/>
      </c>
      <c r="O25" s="14">
        <f>IF(N25&gt;0,1,IF(N25&lt;0,0,""))</f>
        <v/>
      </c>
      <c r="P25" s="11" t="n"/>
    </row>
    <row r="26">
      <c r="A26" s="11" t="n"/>
      <c r="B26" s="11" t="n"/>
      <c r="C26" s="11" t="n"/>
      <c r="D26" s="11" t="n"/>
      <c r="E26" s="11" t="n"/>
      <c r="F26" s="12" t="n"/>
      <c r="G26" s="12" t="n"/>
      <c r="H26" s="12" t="n"/>
      <c r="I26" s="12" t="n"/>
      <c r="J26" s="13" t="n"/>
      <c r="K26" s="13" t="n"/>
      <c r="L26" s="13" t="n"/>
      <c r="M26" s="12" t="n"/>
      <c r="N26" s="12">
        <f>IF(AND(F26&lt;&gt;"",G26&lt;&gt;"",M26&lt;&gt;""),IF(D26="LONG",(M26-F26)/(F26-G26),(H26-M26)/(H26-G26)),"")</f>
        <v/>
      </c>
      <c r="O26" s="14">
        <f>IF(N26&gt;0,1,IF(N26&lt;0,0,""))</f>
        <v/>
      </c>
      <c r="P26" s="11" t="n"/>
    </row>
    <row r="27">
      <c r="A27" s="11" t="n"/>
      <c r="B27" s="11" t="n"/>
      <c r="C27" s="11" t="n"/>
      <c r="D27" s="11" t="n"/>
      <c r="E27" s="11" t="n"/>
      <c r="F27" s="12" t="n"/>
      <c r="G27" s="12" t="n"/>
      <c r="H27" s="12" t="n"/>
      <c r="I27" s="12" t="n"/>
      <c r="J27" s="13" t="n"/>
      <c r="K27" s="13" t="n"/>
      <c r="L27" s="13" t="n"/>
      <c r="M27" s="12" t="n"/>
      <c r="N27" s="12">
        <f>IF(AND(F27&lt;&gt;"",G27&lt;&gt;"",M27&lt;&gt;""),IF(D27="LONG",(M27-F27)/(F27-G27),(H27-M27)/(H27-G27)),"")</f>
        <v/>
      </c>
      <c r="O27" s="14">
        <f>IF(N27&gt;0,1,IF(N27&lt;0,0,""))</f>
        <v/>
      </c>
      <c r="P27" s="11" t="n"/>
    </row>
    <row r="28">
      <c r="A28" s="11" t="n"/>
      <c r="B28" s="11" t="n"/>
      <c r="C28" s="11" t="n"/>
      <c r="D28" s="11" t="n"/>
      <c r="E28" s="11" t="n"/>
      <c r="F28" s="12" t="n"/>
      <c r="G28" s="12" t="n"/>
      <c r="H28" s="12" t="n"/>
      <c r="I28" s="12" t="n"/>
      <c r="J28" s="13" t="n"/>
      <c r="K28" s="13" t="n"/>
      <c r="L28" s="13" t="n"/>
      <c r="M28" s="12" t="n"/>
      <c r="N28" s="12">
        <f>IF(AND(F28&lt;&gt;"",G28&lt;&gt;"",M28&lt;&gt;""),IF(D28="LONG",(M28-F28)/(F28-G28),(H28-M28)/(H28-G28)),"")</f>
        <v/>
      </c>
      <c r="O28" s="14">
        <f>IF(N28&gt;0,1,IF(N28&lt;0,0,""))</f>
        <v/>
      </c>
      <c r="P28" s="11" t="n"/>
    </row>
    <row r="29">
      <c r="A29" s="11" t="n"/>
      <c r="B29" s="11" t="n"/>
      <c r="C29" s="11" t="n"/>
      <c r="D29" s="11" t="n"/>
      <c r="E29" s="11" t="n"/>
      <c r="F29" s="12" t="n"/>
      <c r="G29" s="12" t="n"/>
      <c r="H29" s="12" t="n"/>
      <c r="I29" s="12" t="n"/>
      <c r="J29" s="13" t="n"/>
      <c r="K29" s="13" t="n"/>
      <c r="L29" s="13" t="n"/>
      <c r="M29" s="12" t="n"/>
      <c r="N29" s="12">
        <f>IF(AND(F29&lt;&gt;"",G29&lt;&gt;"",M29&lt;&gt;""),IF(D29="LONG",(M29-F29)/(F29-G29),(H29-M29)/(H29-G29)),"")</f>
        <v/>
      </c>
      <c r="O29" s="14">
        <f>IF(N29&gt;0,1,IF(N29&lt;0,0,""))</f>
        <v/>
      </c>
      <c r="P29" s="11" t="n"/>
    </row>
    <row r="30">
      <c r="A30" s="11" t="n"/>
      <c r="B30" s="11" t="n"/>
      <c r="C30" s="11" t="n"/>
      <c r="D30" s="11" t="n"/>
      <c r="E30" s="11" t="n"/>
      <c r="F30" s="12" t="n"/>
      <c r="G30" s="12" t="n"/>
      <c r="H30" s="12" t="n"/>
      <c r="I30" s="12" t="n"/>
      <c r="J30" s="13" t="n"/>
      <c r="K30" s="13" t="n"/>
      <c r="L30" s="13" t="n"/>
      <c r="M30" s="12" t="n"/>
      <c r="N30" s="12">
        <f>IF(AND(F30&lt;&gt;"",G30&lt;&gt;"",M30&lt;&gt;""),IF(D30="LONG",(M30-F30)/(F30-G30),(H30-M30)/(H30-G30)),"")</f>
        <v/>
      </c>
      <c r="O30" s="14">
        <f>IF(N30&gt;0,1,IF(N30&lt;0,0,""))</f>
        <v/>
      </c>
      <c r="P30" s="11" t="n"/>
    </row>
    <row r="31">
      <c r="A31" s="11" t="n"/>
      <c r="B31" s="11" t="n"/>
      <c r="C31" s="11" t="n"/>
      <c r="D31" s="11" t="n"/>
      <c r="E31" s="11" t="n"/>
      <c r="F31" s="12" t="n"/>
      <c r="G31" s="12" t="n"/>
      <c r="H31" s="12" t="n"/>
      <c r="I31" s="12" t="n"/>
      <c r="J31" s="13" t="n"/>
      <c r="K31" s="13" t="n"/>
      <c r="L31" s="13" t="n"/>
      <c r="M31" s="12" t="n"/>
      <c r="N31" s="12">
        <f>IF(AND(F31&lt;&gt;"",G31&lt;&gt;"",M31&lt;&gt;""),IF(D31="LONG",(M31-F31)/(F31-G31),(H31-M31)/(H31-G31)),"")</f>
        <v/>
      </c>
      <c r="O31" s="14">
        <f>IF(N31&gt;0,1,IF(N31&lt;0,0,""))</f>
        <v/>
      </c>
      <c r="P31" s="11" t="n"/>
    </row>
    <row r="32">
      <c r="A32" s="11" t="n"/>
      <c r="B32" s="11" t="n"/>
      <c r="C32" s="11" t="n"/>
      <c r="D32" s="11" t="n"/>
      <c r="E32" s="11" t="n"/>
      <c r="F32" s="12" t="n"/>
      <c r="G32" s="12" t="n"/>
      <c r="H32" s="12" t="n"/>
      <c r="I32" s="12" t="n"/>
      <c r="J32" s="13" t="n"/>
      <c r="K32" s="13" t="n"/>
      <c r="L32" s="13" t="n"/>
      <c r="M32" s="12" t="n"/>
      <c r="N32" s="12">
        <f>IF(AND(F32&lt;&gt;"",G32&lt;&gt;"",M32&lt;&gt;""),IF(D32="LONG",(M32-F32)/(F32-G32),(H32-M32)/(H32-G32)),"")</f>
        <v/>
      </c>
      <c r="O32" s="14">
        <f>IF(N32&gt;0,1,IF(N32&lt;0,0,""))</f>
        <v/>
      </c>
      <c r="P32" s="11" t="n"/>
    </row>
    <row r="33">
      <c r="A33" s="11" t="n"/>
      <c r="B33" s="11" t="n"/>
      <c r="C33" s="11" t="n"/>
      <c r="D33" s="11" t="n"/>
      <c r="E33" s="11" t="n"/>
      <c r="F33" s="12" t="n"/>
      <c r="G33" s="12" t="n"/>
      <c r="H33" s="12" t="n"/>
      <c r="I33" s="12" t="n"/>
      <c r="J33" s="13" t="n"/>
      <c r="K33" s="13" t="n"/>
      <c r="L33" s="13" t="n"/>
      <c r="M33" s="12" t="n"/>
      <c r="N33" s="12">
        <f>IF(AND(F33&lt;&gt;"",G33&lt;&gt;"",M33&lt;&gt;""),IF(D33="LONG",(M33-F33)/(F33-G33),(H33-M33)/(H33-G33)),"")</f>
        <v/>
      </c>
      <c r="O33" s="14">
        <f>IF(N33&gt;0,1,IF(N33&lt;0,0,""))</f>
        <v/>
      </c>
      <c r="P33" s="11" t="n"/>
    </row>
    <row r="34">
      <c r="A34" s="11" t="n"/>
      <c r="B34" s="11" t="n"/>
      <c r="C34" s="11" t="n"/>
      <c r="D34" s="11" t="n"/>
      <c r="E34" s="11" t="n"/>
      <c r="F34" s="12" t="n"/>
      <c r="G34" s="12" t="n"/>
      <c r="H34" s="12" t="n"/>
      <c r="I34" s="12" t="n"/>
      <c r="J34" s="13" t="n"/>
      <c r="K34" s="13" t="n"/>
      <c r="L34" s="13" t="n"/>
      <c r="M34" s="12" t="n"/>
      <c r="N34" s="12">
        <f>IF(AND(F34&lt;&gt;"",G34&lt;&gt;"",M34&lt;&gt;""),IF(D34="LONG",(M34-F34)/(F34-G34),(H34-M34)/(H34-G34)),"")</f>
        <v/>
      </c>
      <c r="O34" s="14">
        <f>IF(N34&gt;0,1,IF(N34&lt;0,0,""))</f>
        <v/>
      </c>
      <c r="P34" s="11" t="n"/>
    </row>
    <row r="35">
      <c r="A35" s="11" t="n"/>
      <c r="B35" s="11" t="n"/>
      <c r="C35" s="11" t="n"/>
      <c r="D35" s="11" t="n"/>
      <c r="E35" s="11" t="n"/>
      <c r="F35" s="12" t="n"/>
      <c r="G35" s="12" t="n"/>
      <c r="H35" s="12" t="n"/>
      <c r="I35" s="12" t="n"/>
      <c r="J35" s="13" t="n"/>
      <c r="K35" s="13" t="n"/>
      <c r="L35" s="13" t="n"/>
      <c r="M35" s="12" t="n"/>
      <c r="N35" s="12">
        <f>IF(AND(F35&lt;&gt;"",G35&lt;&gt;"",M35&lt;&gt;""),IF(D35="LONG",(M35-F35)/(F35-G35),(H35-M35)/(H35-G35)),"")</f>
        <v/>
      </c>
      <c r="O35" s="14">
        <f>IF(N35&gt;0,1,IF(N35&lt;0,0,""))</f>
        <v/>
      </c>
      <c r="P35" s="11" t="n"/>
    </row>
    <row r="36">
      <c r="A36" s="11" t="n"/>
      <c r="B36" s="11" t="n"/>
      <c r="C36" s="11" t="n"/>
      <c r="D36" s="11" t="n"/>
      <c r="E36" s="11" t="n"/>
      <c r="F36" s="12" t="n"/>
      <c r="G36" s="12" t="n"/>
      <c r="H36" s="12" t="n"/>
      <c r="I36" s="12" t="n"/>
      <c r="J36" s="13" t="n"/>
      <c r="K36" s="13" t="n"/>
      <c r="L36" s="13" t="n"/>
      <c r="M36" s="12" t="n"/>
      <c r="N36" s="12">
        <f>IF(AND(F36&lt;&gt;"",G36&lt;&gt;"",M36&lt;&gt;""),IF(D36="LONG",(M36-F36)/(F36-G36),(H36-M36)/(H36-G36)),"")</f>
        <v/>
      </c>
      <c r="O36" s="14">
        <f>IF(N36&gt;0,1,IF(N36&lt;0,0,""))</f>
        <v/>
      </c>
      <c r="P36" s="11" t="n"/>
    </row>
    <row r="37">
      <c r="A37" s="11" t="n"/>
      <c r="B37" s="11" t="n"/>
      <c r="C37" s="11" t="n"/>
      <c r="D37" s="11" t="n"/>
      <c r="E37" s="11" t="n"/>
      <c r="F37" s="12" t="n"/>
      <c r="G37" s="12" t="n"/>
      <c r="H37" s="12" t="n"/>
      <c r="I37" s="12" t="n"/>
      <c r="J37" s="13" t="n"/>
      <c r="K37" s="13" t="n"/>
      <c r="L37" s="13" t="n"/>
      <c r="M37" s="12" t="n"/>
      <c r="N37" s="12">
        <f>IF(AND(F37&lt;&gt;"",G37&lt;&gt;"",M37&lt;&gt;""),IF(D37="LONG",(M37-F37)/(F37-G37),(H37-M37)/(H37-G37)),"")</f>
        <v/>
      </c>
      <c r="O37" s="14">
        <f>IF(N37&gt;0,1,IF(N37&lt;0,0,""))</f>
        <v/>
      </c>
      <c r="P37" s="11" t="n"/>
    </row>
    <row r="38">
      <c r="A38" s="11" t="n"/>
      <c r="B38" s="11" t="n"/>
      <c r="C38" s="11" t="n"/>
      <c r="D38" s="11" t="n"/>
      <c r="E38" s="11" t="n"/>
      <c r="F38" s="12" t="n"/>
      <c r="G38" s="12" t="n"/>
      <c r="H38" s="12" t="n"/>
      <c r="I38" s="12" t="n"/>
      <c r="J38" s="13" t="n"/>
      <c r="K38" s="13" t="n"/>
      <c r="L38" s="13" t="n"/>
      <c r="M38" s="12" t="n"/>
      <c r="N38" s="12">
        <f>IF(AND(F38&lt;&gt;"",G38&lt;&gt;"",M38&lt;&gt;""),IF(D38="LONG",(M38-F38)/(F38-G38),(H38-M38)/(H38-G38)),"")</f>
        <v/>
      </c>
      <c r="O38" s="14">
        <f>IF(N38&gt;0,1,IF(N38&lt;0,0,""))</f>
        <v/>
      </c>
      <c r="P38" s="11" t="n"/>
    </row>
    <row r="39">
      <c r="A39" s="11" t="n"/>
      <c r="B39" s="11" t="n"/>
      <c r="C39" s="11" t="n"/>
      <c r="D39" s="11" t="n"/>
      <c r="E39" s="11" t="n"/>
      <c r="F39" s="12" t="n"/>
      <c r="G39" s="12" t="n"/>
      <c r="H39" s="12" t="n"/>
      <c r="I39" s="12" t="n"/>
      <c r="J39" s="13" t="n"/>
      <c r="K39" s="13" t="n"/>
      <c r="L39" s="13" t="n"/>
      <c r="M39" s="12" t="n"/>
      <c r="N39" s="12">
        <f>IF(AND(F39&lt;&gt;"",G39&lt;&gt;"",M39&lt;&gt;""),IF(D39="LONG",(M39-F39)/(F39-G39),(H39-M39)/(H39-G39)),"")</f>
        <v/>
      </c>
      <c r="O39" s="14">
        <f>IF(N39&gt;0,1,IF(N39&lt;0,0,""))</f>
        <v/>
      </c>
      <c r="P39" s="11" t="n"/>
    </row>
    <row r="40">
      <c r="A40" s="11" t="n"/>
      <c r="B40" s="11" t="n"/>
      <c r="C40" s="11" t="n"/>
      <c r="D40" s="11" t="n"/>
      <c r="E40" s="11" t="n"/>
      <c r="F40" s="12" t="n"/>
      <c r="G40" s="12" t="n"/>
      <c r="H40" s="12" t="n"/>
      <c r="I40" s="12" t="n"/>
      <c r="J40" s="13" t="n"/>
      <c r="K40" s="13" t="n"/>
      <c r="L40" s="13" t="n"/>
      <c r="M40" s="12" t="n"/>
      <c r="N40" s="12">
        <f>IF(AND(F40&lt;&gt;"",G40&lt;&gt;"",M40&lt;&gt;""),IF(D40="LONG",(M40-F40)/(F40-G40),(H40-M40)/(H40-G40)),"")</f>
        <v/>
      </c>
      <c r="O40" s="14">
        <f>IF(N40&gt;0,1,IF(N40&lt;0,0,""))</f>
        <v/>
      </c>
      <c r="P40" s="11" t="n"/>
    </row>
    <row r="41">
      <c r="A41" s="11" t="n"/>
      <c r="B41" s="11" t="n"/>
      <c r="C41" s="11" t="n"/>
      <c r="D41" s="11" t="n"/>
      <c r="E41" s="11" t="n"/>
      <c r="F41" s="12" t="n"/>
      <c r="G41" s="12" t="n"/>
      <c r="H41" s="12" t="n"/>
      <c r="I41" s="12" t="n"/>
      <c r="J41" s="13" t="n"/>
      <c r="K41" s="13" t="n"/>
      <c r="L41" s="13" t="n"/>
      <c r="M41" s="12" t="n"/>
      <c r="N41" s="12">
        <f>IF(AND(F41&lt;&gt;"",G41&lt;&gt;"",M41&lt;&gt;""),IF(D41="LONG",(M41-F41)/(F41-G41),(H41-M41)/(H41-G41)),"")</f>
        <v/>
      </c>
      <c r="O41" s="14">
        <f>IF(N41&gt;0,1,IF(N41&lt;0,0,""))</f>
        <v/>
      </c>
      <c r="P41" s="11" t="n"/>
    </row>
    <row r="42">
      <c r="A42" s="11" t="n"/>
      <c r="B42" s="11" t="n"/>
      <c r="C42" s="11" t="n"/>
      <c r="D42" s="11" t="n"/>
      <c r="E42" s="11" t="n"/>
      <c r="F42" s="12" t="n"/>
      <c r="G42" s="12" t="n"/>
      <c r="H42" s="12" t="n"/>
      <c r="I42" s="12" t="n"/>
      <c r="J42" s="13" t="n"/>
      <c r="K42" s="13" t="n"/>
      <c r="L42" s="13" t="n"/>
      <c r="M42" s="12" t="n"/>
      <c r="N42" s="12">
        <f>IF(AND(F42&lt;&gt;"",G42&lt;&gt;"",M42&lt;&gt;""),IF(D42="LONG",(M42-F42)/(F42-G42),(H42-M42)/(H42-G42)),"")</f>
        <v/>
      </c>
      <c r="O42" s="14">
        <f>IF(N42&gt;0,1,IF(N42&lt;0,0,""))</f>
        <v/>
      </c>
      <c r="P42" s="11" t="n"/>
    </row>
    <row r="43">
      <c r="A43" s="11" t="n"/>
      <c r="B43" s="11" t="n"/>
      <c r="C43" s="11" t="n"/>
      <c r="D43" s="11" t="n"/>
      <c r="E43" s="11" t="n"/>
      <c r="F43" s="12" t="n"/>
      <c r="G43" s="12" t="n"/>
      <c r="H43" s="12" t="n"/>
      <c r="I43" s="12" t="n"/>
      <c r="J43" s="13" t="n"/>
      <c r="K43" s="13" t="n"/>
      <c r="L43" s="13" t="n"/>
      <c r="M43" s="12" t="n"/>
      <c r="N43" s="12">
        <f>IF(AND(F43&lt;&gt;"",G43&lt;&gt;"",M43&lt;&gt;""),IF(D43="LONG",(M43-F43)/(F43-G43),(H43-M43)/(H43-G43)),"")</f>
        <v/>
      </c>
      <c r="O43" s="14">
        <f>IF(N43&gt;0,1,IF(N43&lt;0,0,""))</f>
        <v/>
      </c>
      <c r="P43" s="11" t="n"/>
    </row>
    <row r="44">
      <c r="A44" s="11" t="n"/>
      <c r="B44" s="11" t="n"/>
      <c r="C44" s="11" t="n"/>
      <c r="D44" s="11" t="n"/>
      <c r="E44" s="11" t="n"/>
      <c r="F44" s="12" t="n"/>
      <c r="G44" s="12" t="n"/>
      <c r="H44" s="12" t="n"/>
      <c r="I44" s="12" t="n"/>
      <c r="J44" s="13" t="n"/>
      <c r="K44" s="13" t="n"/>
      <c r="L44" s="13" t="n"/>
      <c r="M44" s="12" t="n"/>
      <c r="N44" s="12">
        <f>IF(AND(F44&lt;&gt;"",G44&lt;&gt;"",M44&lt;&gt;""),IF(D44="LONG",(M44-F44)/(F44-G44),(H44-M44)/(H44-G44)),"")</f>
        <v/>
      </c>
      <c r="O44" s="14">
        <f>IF(N44&gt;0,1,IF(N44&lt;0,0,""))</f>
        <v/>
      </c>
      <c r="P44" s="11" t="n"/>
    </row>
    <row r="45">
      <c r="A45" s="11" t="n"/>
      <c r="B45" s="11" t="n"/>
      <c r="C45" s="11" t="n"/>
      <c r="D45" s="11" t="n"/>
      <c r="E45" s="11" t="n"/>
      <c r="F45" s="12" t="n"/>
      <c r="G45" s="12" t="n"/>
      <c r="H45" s="12" t="n"/>
      <c r="I45" s="12" t="n"/>
      <c r="J45" s="13" t="n"/>
      <c r="K45" s="13" t="n"/>
      <c r="L45" s="13" t="n"/>
      <c r="M45" s="12" t="n"/>
      <c r="N45" s="12">
        <f>IF(AND(F45&lt;&gt;"",G45&lt;&gt;"",M45&lt;&gt;""),IF(D45="LONG",(M45-F45)/(F45-G45),(H45-M45)/(H45-G45)),"")</f>
        <v/>
      </c>
      <c r="O45" s="14">
        <f>IF(N45&gt;0,1,IF(N45&lt;0,0,""))</f>
        <v/>
      </c>
      <c r="P45" s="11" t="n"/>
    </row>
    <row r="46">
      <c r="A46" s="11" t="n"/>
      <c r="B46" s="11" t="n"/>
      <c r="C46" s="11" t="n"/>
      <c r="D46" s="11" t="n"/>
      <c r="E46" s="11" t="n"/>
      <c r="F46" s="12" t="n"/>
      <c r="G46" s="12" t="n"/>
      <c r="H46" s="12" t="n"/>
      <c r="I46" s="12" t="n"/>
      <c r="J46" s="13" t="n"/>
      <c r="K46" s="13" t="n"/>
      <c r="L46" s="13" t="n"/>
      <c r="M46" s="12" t="n"/>
      <c r="N46" s="12">
        <f>IF(AND(F46&lt;&gt;"",G46&lt;&gt;"",M46&lt;&gt;""),IF(D46="LONG",(M46-F46)/(F46-G46),(H46-M46)/(H46-G46)),"")</f>
        <v/>
      </c>
      <c r="O46" s="14">
        <f>IF(N46&gt;0,1,IF(N46&lt;0,0,""))</f>
        <v/>
      </c>
      <c r="P46" s="11" t="n"/>
    </row>
    <row r="47">
      <c r="A47" s="11" t="n"/>
      <c r="B47" s="11" t="n"/>
      <c r="C47" s="11" t="n"/>
      <c r="D47" s="11" t="n"/>
      <c r="E47" s="11" t="n"/>
      <c r="F47" s="12" t="n"/>
      <c r="G47" s="12" t="n"/>
      <c r="H47" s="12" t="n"/>
      <c r="I47" s="12" t="n"/>
      <c r="J47" s="13" t="n"/>
      <c r="K47" s="13" t="n"/>
      <c r="L47" s="13" t="n"/>
      <c r="M47" s="12" t="n"/>
      <c r="N47" s="12">
        <f>IF(AND(F47&lt;&gt;"",G47&lt;&gt;"",M47&lt;&gt;""),IF(D47="LONG",(M47-F47)/(F47-G47),(H47-M47)/(H47-G47)),"")</f>
        <v/>
      </c>
      <c r="O47" s="14">
        <f>IF(N47&gt;0,1,IF(N47&lt;0,0,""))</f>
        <v/>
      </c>
      <c r="P47" s="11" t="n"/>
    </row>
    <row r="48">
      <c r="A48" s="11" t="n"/>
      <c r="B48" s="11" t="n"/>
      <c r="C48" s="11" t="n"/>
      <c r="D48" s="11" t="n"/>
      <c r="E48" s="11" t="n"/>
      <c r="F48" s="12" t="n"/>
      <c r="G48" s="12" t="n"/>
      <c r="H48" s="12" t="n"/>
      <c r="I48" s="12" t="n"/>
      <c r="J48" s="13" t="n"/>
      <c r="K48" s="13" t="n"/>
      <c r="L48" s="13" t="n"/>
      <c r="M48" s="12" t="n"/>
      <c r="N48" s="12">
        <f>IF(AND(F48&lt;&gt;"",G48&lt;&gt;"",M48&lt;&gt;""),IF(D48="LONG",(M48-F48)/(F48-G48),(H48-M48)/(H48-G48)),"")</f>
        <v/>
      </c>
      <c r="O48" s="14">
        <f>IF(N48&gt;0,1,IF(N48&lt;0,0,""))</f>
        <v/>
      </c>
      <c r="P48" s="11" t="n"/>
    </row>
    <row r="49">
      <c r="A49" s="11" t="n"/>
      <c r="B49" s="11" t="n"/>
      <c r="C49" s="11" t="n"/>
      <c r="D49" s="11" t="n"/>
      <c r="E49" s="11" t="n"/>
      <c r="F49" s="12" t="n"/>
      <c r="G49" s="12" t="n"/>
      <c r="H49" s="12" t="n"/>
      <c r="I49" s="12" t="n"/>
      <c r="J49" s="13" t="n"/>
      <c r="K49" s="13" t="n"/>
      <c r="L49" s="13" t="n"/>
      <c r="M49" s="12" t="n"/>
      <c r="N49" s="12">
        <f>IF(AND(F49&lt;&gt;"",G49&lt;&gt;"",M49&lt;&gt;""),IF(D49="LONG",(M49-F49)/(F49-G49),(H49-M49)/(H49-G49)),"")</f>
        <v/>
      </c>
      <c r="O49" s="14">
        <f>IF(N49&gt;0,1,IF(N49&lt;0,0,""))</f>
        <v/>
      </c>
      <c r="P49" s="11" t="n"/>
    </row>
    <row r="50">
      <c r="A50" s="11" t="n"/>
      <c r="B50" s="11" t="n"/>
      <c r="C50" s="11" t="n"/>
      <c r="D50" s="11" t="n"/>
      <c r="E50" s="11" t="n"/>
      <c r="F50" s="12" t="n"/>
      <c r="G50" s="12" t="n"/>
      <c r="H50" s="12" t="n"/>
      <c r="I50" s="12" t="n"/>
      <c r="J50" s="13" t="n"/>
      <c r="K50" s="13" t="n"/>
      <c r="L50" s="13" t="n"/>
      <c r="M50" s="12" t="n"/>
      <c r="N50" s="12">
        <f>IF(AND(F50&lt;&gt;"",G50&lt;&gt;"",M50&lt;&gt;""),IF(D50="LONG",(M50-F50)/(F50-G50),(H50-M50)/(H50-G50)),"")</f>
        <v/>
      </c>
      <c r="O50" s="14">
        <f>IF(N50&gt;0,1,IF(N50&lt;0,0,""))</f>
        <v/>
      </c>
      <c r="P50" s="11" t="n"/>
    </row>
    <row r="51">
      <c r="A51" s="11" t="n"/>
      <c r="B51" s="11" t="n"/>
      <c r="C51" s="11" t="n"/>
      <c r="D51" s="11" t="n"/>
      <c r="E51" s="11" t="n"/>
      <c r="F51" s="12" t="n"/>
      <c r="G51" s="12" t="n"/>
      <c r="H51" s="12" t="n"/>
      <c r="I51" s="12" t="n"/>
      <c r="J51" s="13" t="n"/>
      <c r="K51" s="13" t="n"/>
      <c r="L51" s="13" t="n"/>
      <c r="M51" s="12" t="n"/>
      <c r="N51" s="12">
        <f>IF(AND(F51&lt;&gt;"",G51&lt;&gt;"",M51&lt;&gt;""),IF(D51="LONG",(M51-F51)/(F51-G51),(H51-M51)/(H51-G51)),"")</f>
        <v/>
      </c>
      <c r="O51" s="14">
        <f>IF(N51&gt;0,1,IF(N51&lt;0,0,""))</f>
        <v/>
      </c>
      <c r="P51" s="11" t="n"/>
    </row>
    <row r="52">
      <c r="A52" s="11" t="n"/>
      <c r="B52" s="11" t="n"/>
      <c r="C52" s="11" t="n"/>
      <c r="D52" s="11" t="n"/>
      <c r="E52" s="11" t="n"/>
      <c r="F52" s="12" t="n"/>
      <c r="G52" s="12" t="n"/>
      <c r="H52" s="12" t="n"/>
      <c r="I52" s="12" t="n"/>
      <c r="J52" s="13" t="n"/>
      <c r="K52" s="13" t="n"/>
      <c r="L52" s="13" t="n"/>
      <c r="M52" s="12" t="n"/>
      <c r="N52" s="12">
        <f>IF(AND(F52&lt;&gt;"",G52&lt;&gt;"",M52&lt;&gt;""),IF(D52="LONG",(M52-F52)/(F52-G52),(H52-M52)/(H52-G52)),"")</f>
        <v/>
      </c>
      <c r="O52" s="14">
        <f>IF(N52&gt;0,1,IF(N52&lt;0,0,""))</f>
        <v/>
      </c>
      <c r="P52" s="11" t="n"/>
    </row>
    <row r="53">
      <c r="A53" s="11" t="n"/>
      <c r="B53" s="11" t="n"/>
      <c r="C53" s="11" t="n"/>
      <c r="D53" s="11" t="n"/>
      <c r="E53" s="11" t="n"/>
      <c r="F53" s="12" t="n"/>
      <c r="G53" s="12" t="n"/>
      <c r="H53" s="12" t="n"/>
      <c r="I53" s="12" t="n"/>
      <c r="J53" s="13" t="n"/>
      <c r="K53" s="13" t="n"/>
      <c r="L53" s="13" t="n"/>
      <c r="M53" s="12" t="n"/>
      <c r="N53" s="12">
        <f>IF(AND(F53&lt;&gt;"",G53&lt;&gt;"",M53&lt;&gt;""),IF(D53="LONG",(M53-F53)/(F53-G53),(H53-M53)/(H53-G53)),"")</f>
        <v/>
      </c>
      <c r="O53" s="14">
        <f>IF(N53&gt;0,1,IF(N53&lt;0,0,""))</f>
        <v/>
      </c>
      <c r="P53" s="11" t="n"/>
    </row>
    <row r="54">
      <c r="A54" s="11" t="n"/>
      <c r="B54" s="11" t="n"/>
      <c r="C54" s="11" t="n"/>
      <c r="D54" s="11" t="n"/>
      <c r="E54" s="11" t="n"/>
      <c r="F54" s="12" t="n"/>
      <c r="G54" s="12" t="n"/>
      <c r="H54" s="12" t="n"/>
      <c r="I54" s="12" t="n"/>
      <c r="J54" s="13" t="n"/>
      <c r="K54" s="13" t="n"/>
      <c r="L54" s="13" t="n"/>
      <c r="M54" s="12" t="n"/>
      <c r="N54" s="12">
        <f>IF(AND(F54&lt;&gt;"",G54&lt;&gt;"",M54&lt;&gt;""),IF(D54="LONG",(M54-F54)/(F54-G54),(H54-M54)/(H54-G54)),"")</f>
        <v/>
      </c>
      <c r="O54" s="14">
        <f>IF(N54&gt;0,1,IF(N54&lt;0,0,""))</f>
        <v/>
      </c>
      <c r="P54" s="11" t="n"/>
    </row>
    <row r="55">
      <c r="A55" s="11" t="n"/>
      <c r="B55" s="11" t="n"/>
      <c r="C55" s="11" t="n"/>
      <c r="D55" s="11" t="n"/>
      <c r="E55" s="11" t="n"/>
      <c r="F55" s="12" t="n"/>
      <c r="G55" s="12" t="n"/>
      <c r="H55" s="12" t="n"/>
      <c r="I55" s="12" t="n"/>
      <c r="J55" s="13" t="n"/>
      <c r="K55" s="13" t="n"/>
      <c r="L55" s="13" t="n"/>
      <c r="M55" s="12" t="n"/>
      <c r="N55" s="12">
        <f>IF(AND(F55&lt;&gt;"",G55&lt;&gt;"",M55&lt;&gt;""),IF(D55="LONG",(M55-F55)/(F55-G55),(H55-M55)/(H55-G55)),"")</f>
        <v/>
      </c>
      <c r="O55" s="14">
        <f>IF(N55&gt;0,1,IF(N55&lt;0,0,""))</f>
        <v/>
      </c>
      <c r="P55" s="11" t="n"/>
    </row>
    <row r="56">
      <c r="A56" s="11" t="n"/>
      <c r="B56" s="11" t="n"/>
      <c r="C56" s="11" t="n"/>
      <c r="D56" s="11" t="n"/>
      <c r="E56" s="11" t="n"/>
      <c r="F56" s="12" t="n"/>
      <c r="G56" s="12" t="n"/>
      <c r="H56" s="12" t="n"/>
      <c r="I56" s="12" t="n"/>
      <c r="J56" s="13" t="n"/>
      <c r="K56" s="13" t="n"/>
      <c r="L56" s="13" t="n"/>
      <c r="M56" s="12" t="n"/>
      <c r="N56" s="12">
        <f>IF(AND(F56&lt;&gt;"",G56&lt;&gt;"",M56&lt;&gt;""),IF(D56="LONG",(M56-F56)/(F56-G56),(H56-M56)/(H56-G56)),"")</f>
        <v/>
      </c>
      <c r="O56" s="14">
        <f>IF(N56&gt;0,1,IF(N56&lt;0,0,""))</f>
        <v/>
      </c>
      <c r="P56" s="11" t="n"/>
    </row>
    <row r="57">
      <c r="A57" s="11" t="n"/>
      <c r="B57" s="11" t="n"/>
      <c r="C57" s="11" t="n"/>
      <c r="D57" s="11" t="n"/>
      <c r="E57" s="11" t="n"/>
      <c r="F57" s="12" t="n"/>
      <c r="G57" s="12" t="n"/>
      <c r="H57" s="12" t="n"/>
      <c r="I57" s="12" t="n"/>
      <c r="J57" s="13" t="n"/>
      <c r="K57" s="13" t="n"/>
      <c r="L57" s="13" t="n"/>
      <c r="M57" s="12" t="n"/>
      <c r="N57" s="12">
        <f>IF(AND(F57&lt;&gt;"",G57&lt;&gt;"",M57&lt;&gt;""),IF(D57="LONG",(M57-F57)/(F57-G57),(H57-M57)/(H57-G57)),"")</f>
        <v/>
      </c>
      <c r="O57" s="14">
        <f>IF(N57&gt;0,1,IF(N57&lt;0,0,""))</f>
        <v/>
      </c>
      <c r="P57" s="11" t="n"/>
    </row>
    <row r="58">
      <c r="A58" s="11" t="n"/>
      <c r="B58" s="11" t="n"/>
      <c r="C58" s="11" t="n"/>
      <c r="D58" s="11" t="n"/>
      <c r="E58" s="11" t="n"/>
      <c r="F58" s="12" t="n"/>
      <c r="G58" s="12" t="n"/>
      <c r="H58" s="12" t="n"/>
      <c r="I58" s="12" t="n"/>
      <c r="J58" s="13" t="n"/>
      <c r="K58" s="13" t="n"/>
      <c r="L58" s="13" t="n"/>
      <c r="M58" s="12" t="n"/>
      <c r="N58" s="12">
        <f>IF(AND(F58&lt;&gt;"",G58&lt;&gt;"",M58&lt;&gt;""),IF(D58="LONG",(M58-F58)/(F58-G58),(H58-M58)/(H58-G58)),"")</f>
        <v/>
      </c>
      <c r="O58" s="14">
        <f>IF(N58&gt;0,1,IF(N58&lt;0,0,""))</f>
        <v/>
      </c>
      <c r="P58" s="11" t="n"/>
    </row>
    <row r="59">
      <c r="A59" s="11" t="n"/>
      <c r="B59" s="11" t="n"/>
      <c r="C59" s="11" t="n"/>
      <c r="D59" s="11" t="n"/>
      <c r="E59" s="11" t="n"/>
      <c r="F59" s="12" t="n"/>
      <c r="G59" s="12" t="n"/>
      <c r="H59" s="12" t="n"/>
      <c r="I59" s="12" t="n"/>
      <c r="J59" s="13" t="n"/>
      <c r="K59" s="13" t="n"/>
      <c r="L59" s="13" t="n"/>
      <c r="M59" s="12" t="n"/>
      <c r="N59" s="12">
        <f>IF(AND(F59&lt;&gt;"",G59&lt;&gt;"",M59&lt;&gt;""),IF(D59="LONG",(M59-F59)/(F59-G59),(H59-M59)/(H59-G59)),"")</f>
        <v/>
      </c>
      <c r="O59" s="14">
        <f>IF(N59&gt;0,1,IF(N59&lt;0,0,""))</f>
        <v/>
      </c>
      <c r="P59" s="11" t="n"/>
    </row>
    <row r="60">
      <c r="A60" s="11" t="n"/>
      <c r="B60" s="11" t="n"/>
      <c r="C60" s="11" t="n"/>
      <c r="D60" s="11" t="n"/>
      <c r="E60" s="11" t="n"/>
      <c r="F60" s="12" t="n"/>
      <c r="G60" s="12" t="n"/>
      <c r="H60" s="12" t="n"/>
      <c r="I60" s="12" t="n"/>
      <c r="J60" s="13" t="n"/>
      <c r="K60" s="13" t="n"/>
      <c r="L60" s="13" t="n"/>
      <c r="M60" s="12" t="n"/>
      <c r="N60" s="12">
        <f>IF(AND(F60&lt;&gt;"",G60&lt;&gt;"",M60&lt;&gt;""),IF(D60="LONG",(M60-F60)/(F60-G60),(H60-M60)/(H60-G60)),"")</f>
        <v/>
      </c>
      <c r="O60" s="14">
        <f>IF(N60&gt;0,1,IF(N60&lt;0,0,""))</f>
        <v/>
      </c>
      <c r="P60" s="11" t="n"/>
    </row>
    <row r="61">
      <c r="A61" s="11" t="n"/>
      <c r="B61" s="11" t="n"/>
      <c r="C61" s="11" t="n"/>
      <c r="D61" s="11" t="n"/>
      <c r="E61" s="11" t="n"/>
      <c r="F61" s="12" t="n"/>
      <c r="G61" s="12" t="n"/>
      <c r="H61" s="12" t="n"/>
      <c r="I61" s="12" t="n"/>
      <c r="J61" s="13" t="n"/>
      <c r="K61" s="13" t="n"/>
      <c r="L61" s="13" t="n"/>
      <c r="M61" s="12" t="n"/>
      <c r="N61" s="12">
        <f>IF(AND(F61&lt;&gt;"",G61&lt;&gt;"",M61&lt;&gt;""),IF(D61="LONG",(M61-F61)/(F61-G61),(H61-M61)/(H61-G61)),"")</f>
        <v/>
      </c>
      <c r="O61" s="14">
        <f>IF(N61&gt;0,1,IF(N61&lt;0,0,""))</f>
        <v/>
      </c>
      <c r="P61" s="11" t="n"/>
    </row>
    <row r="62">
      <c r="A62" s="11" t="n"/>
      <c r="B62" s="11" t="n"/>
      <c r="C62" s="11" t="n"/>
      <c r="D62" s="11" t="n"/>
      <c r="E62" s="11" t="n"/>
      <c r="F62" s="12" t="n"/>
      <c r="G62" s="12" t="n"/>
      <c r="H62" s="12" t="n"/>
      <c r="I62" s="12" t="n"/>
      <c r="J62" s="13" t="n"/>
      <c r="K62" s="13" t="n"/>
      <c r="L62" s="13" t="n"/>
      <c r="M62" s="12" t="n"/>
      <c r="N62" s="12">
        <f>IF(AND(F62&lt;&gt;"",G62&lt;&gt;"",M62&lt;&gt;""),IF(D62="LONG",(M62-F62)/(F62-G62),(H62-M62)/(H62-G62)),"")</f>
        <v/>
      </c>
      <c r="O62" s="14">
        <f>IF(N62&gt;0,1,IF(N62&lt;0,0,""))</f>
        <v/>
      </c>
      <c r="P62" s="11" t="n"/>
    </row>
    <row r="63">
      <c r="A63" s="11" t="n"/>
      <c r="B63" s="11" t="n"/>
      <c r="C63" s="11" t="n"/>
      <c r="D63" s="11" t="n"/>
      <c r="E63" s="11" t="n"/>
      <c r="F63" s="12" t="n"/>
      <c r="G63" s="12" t="n"/>
      <c r="H63" s="12" t="n"/>
      <c r="I63" s="12" t="n"/>
      <c r="J63" s="13" t="n"/>
      <c r="K63" s="13" t="n"/>
      <c r="L63" s="13" t="n"/>
      <c r="M63" s="12" t="n"/>
      <c r="N63" s="12">
        <f>IF(AND(F63&lt;&gt;"",G63&lt;&gt;"",M63&lt;&gt;""),IF(D63="LONG",(M63-F63)/(F63-G63),(H63-M63)/(H63-G63)),"")</f>
        <v/>
      </c>
      <c r="O63" s="14">
        <f>IF(N63&gt;0,1,IF(N63&lt;0,0,""))</f>
        <v/>
      </c>
      <c r="P63" s="11" t="n"/>
    </row>
    <row r="64">
      <c r="A64" s="11" t="n"/>
      <c r="B64" s="11" t="n"/>
      <c r="C64" s="11" t="n"/>
      <c r="D64" s="11" t="n"/>
      <c r="E64" s="11" t="n"/>
      <c r="F64" s="12" t="n"/>
      <c r="G64" s="12" t="n"/>
      <c r="H64" s="12" t="n"/>
      <c r="I64" s="12" t="n"/>
      <c r="J64" s="13" t="n"/>
      <c r="K64" s="13" t="n"/>
      <c r="L64" s="13" t="n"/>
      <c r="M64" s="12" t="n"/>
      <c r="N64" s="12">
        <f>IF(AND(F64&lt;&gt;"",G64&lt;&gt;"",M64&lt;&gt;""),IF(D64="LONG",(M64-F64)/(F64-G64),(H64-M64)/(H64-G64)),"")</f>
        <v/>
      </c>
      <c r="O64" s="14">
        <f>IF(N64&gt;0,1,IF(N64&lt;0,0,""))</f>
        <v/>
      </c>
      <c r="P64" s="11" t="n"/>
    </row>
    <row r="65">
      <c r="A65" s="11" t="n"/>
      <c r="B65" s="11" t="n"/>
      <c r="C65" s="11" t="n"/>
      <c r="D65" s="11" t="n"/>
      <c r="E65" s="11" t="n"/>
      <c r="F65" s="12" t="n"/>
      <c r="G65" s="12" t="n"/>
      <c r="H65" s="12" t="n"/>
      <c r="I65" s="12" t="n"/>
      <c r="J65" s="13" t="n"/>
      <c r="K65" s="13" t="n"/>
      <c r="L65" s="13" t="n"/>
      <c r="M65" s="12" t="n"/>
      <c r="N65" s="12">
        <f>IF(AND(F65&lt;&gt;"",G65&lt;&gt;"",M65&lt;&gt;""),IF(D65="LONG",(M65-F65)/(F65-G65),(H65-M65)/(H65-G65)),"")</f>
        <v/>
      </c>
      <c r="O65" s="14">
        <f>IF(N65&gt;0,1,IF(N65&lt;0,0,""))</f>
        <v/>
      </c>
      <c r="P65" s="11" t="n"/>
    </row>
    <row r="66">
      <c r="A66" s="11" t="n"/>
      <c r="B66" s="11" t="n"/>
      <c r="C66" s="11" t="n"/>
      <c r="D66" s="11" t="n"/>
      <c r="E66" s="11" t="n"/>
      <c r="F66" s="12" t="n"/>
      <c r="G66" s="12" t="n"/>
      <c r="H66" s="12" t="n"/>
      <c r="I66" s="12" t="n"/>
      <c r="J66" s="13" t="n"/>
      <c r="K66" s="13" t="n"/>
      <c r="L66" s="13" t="n"/>
      <c r="M66" s="12" t="n"/>
      <c r="N66" s="12">
        <f>IF(AND(F66&lt;&gt;"",G66&lt;&gt;"",M66&lt;&gt;""),IF(D66="LONG",(M66-F66)/(F66-G66),(H66-M66)/(H66-G66)),"")</f>
        <v/>
      </c>
      <c r="O66" s="14">
        <f>IF(N66&gt;0,1,IF(N66&lt;0,0,""))</f>
        <v/>
      </c>
      <c r="P66" s="11" t="n"/>
    </row>
    <row r="67">
      <c r="A67" s="11" t="n"/>
      <c r="B67" s="11" t="n"/>
      <c r="C67" s="11" t="n"/>
      <c r="D67" s="11" t="n"/>
      <c r="E67" s="11" t="n"/>
      <c r="F67" s="12" t="n"/>
      <c r="G67" s="12" t="n"/>
      <c r="H67" s="12" t="n"/>
      <c r="I67" s="12" t="n"/>
      <c r="J67" s="13" t="n"/>
      <c r="K67" s="13" t="n"/>
      <c r="L67" s="13" t="n"/>
      <c r="M67" s="12" t="n"/>
      <c r="N67" s="12">
        <f>IF(AND(F67&lt;&gt;"",G67&lt;&gt;"",M67&lt;&gt;""),IF(D67="LONG",(M67-F67)/(F67-G67),(H67-M67)/(H67-G67)),"")</f>
        <v/>
      </c>
      <c r="O67" s="14">
        <f>IF(N67&gt;0,1,IF(N67&lt;0,0,""))</f>
        <v/>
      </c>
      <c r="P67" s="11" t="n"/>
    </row>
    <row r="68">
      <c r="A68" s="11" t="n"/>
      <c r="B68" s="11" t="n"/>
      <c r="C68" s="11" t="n"/>
      <c r="D68" s="11" t="n"/>
      <c r="E68" s="11" t="n"/>
      <c r="F68" s="12" t="n"/>
      <c r="G68" s="12" t="n"/>
      <c r="H68" s="12" t="n"/>
      <c r="I68" s="12" t="n"/>
      <c r="J68" s="13" t="n"/>
      <c r="K68" s="13" t="n"/>
      <c r="L68" s="13" t="n"/>
      <c r="M68" s="12" t="n"/>
      <c r="N68" s="12">
        <f>IF(AND(F68&lt;&gt;"",G68&lt;&gt;"",M68&lt;&gt;""),IF(D68="LONG",(M68-F68)/(F68-G68),(H68-M68)/(H68-G68)),"")</f>
        <v/>
      </c>
      <c r="O68" s="14">
        <f>IF(N68&gt;0,1,IF(N68&lt;0,0,""))</f>
        <v/>
      </c>
      <c r="P68" s="11" t="n"/>
    </row>
    <row r="69">
      <c r="A69" s="11" t="n"/>
      <c r="B69" s="11" t="n"/>
      <c r="C69" s="11" t="n"/>
      <c r="D69" s="11" t="n"/>
      <c r="E69" s="11" t="n"/>
      <c r="F69" s="12" t="n"/>
      <c r="G69" s="12" t="n"/>
      <c r="H69" s="12" t="n"/>
      <c r="I69" s="12" t="n"/>
      <c r="J69" s="13" t="n"/>
      <c r="K69" s="13" t="n"/>
      <c r="L69" s="13" t="n"/>
      <c r="M69" s="12" t="n"/>
      <c r="N69" s="12">
        <f>IF(AND(F69&lt;&gt;"",G69&lt;&gt;"",M69&lt;&gt;""),IF(D69="LONG",(M69-F69)/(F69-G69),(H69-M69)/(H69-G69)),"")</f>
        <v/>
      </c>
      <c r="O69" s="14">
        <f>IF(N69&gt;0,1,IF(N69&lt;0,0,""))</f>
        <v/>
      </c>
      <c r="P69" s="11" t="n"/>
    </row>
    <row r="70">
      <c r="A70" s="11" t="n"/>
      <c r="B70" s="11" t="n"/>
      <c r="C70" s="11" t="n"/>
      <c r="D70" s="11" t="n"/>
      <c r="E70" s="11" t="n"/>
      <c r="F70" s="12" t="n"/>
      <c r="G70" s="12" t="n"/>
      <c r="H70" s="12" t="n"/>
      <c r="I70" s="12" t="n"/>
      <c r="J70" s="13" t="n"/>
      <c r="K70" s="13" t="n"/>
      <c r="L70" s="13" t="n"/>
      <c r="M70" s="12" t="n"/>
      <c r="N70" s="12">
        <f>IF(AND(F70&lt;&gt;"",G70&lt;&gt;"",M70&lt;&gt;""),IF(D70="LONG",(M70-F70)/(F70-G70),(H70-M70)/(H70-G70)),"")</f>
        <v/>
      </c>
      <c r="O70" s="14">
        <f>IF(N70&gt;0,1,IF(N70&lt;0,0,""))</f>
        <v/>
      </c>
      <c r="P70" s="11" t="n"/>
    </row>
    <row r="71">
      <c r="A71" s="11" t="n"/>
      <c r="B71" s="11" t="n"/>
      <c r="C71" s="11" t="n"/>
      <c r="D71" s="11" t="n"/>
      <c r="E71" s="11" t="n"/>
      <c r="F71" s="12" t="n"/>
      <c r="G71" s="12" t="n"/>
      <c r="H71" s="12" t="n"/>
      <c r="I71" s="12" t="n"/>
      <c r="J71" s="13" t="n"/>
      <c r="K71" s="13" t="n"/>
      <c r="L71" s="13" t="n"/>
      <c r="M71" s="12" t="n"/>
      <c r="N71" s="12">
        <f>IF(AND(F71&lt;&gt;"",G71&lt;&gt;"",M71&lt;&gt;""),IF(D71="LONG",(M71-F71)/(F71-G71),(H71-M71)/(H71-G71)),"")</f>
        <v/>
      </c>
      <c r="O71" s="14">
        <f>IF(N71&gt;0,1,IF(N71&lt;0,0,""))</f>
        <v/>
      </c>
      <c r="P71" s="11" t="n"/>
    </row>
    <row r="72">
      <c r="A72" s="11" t="n"/>
      <c r="B72" s="11" t="n"/>
      <c r="C72" s="11" t="n"/>
      <c r="D72" s="11" t="n"/>
      <c r="E72" s="11" t="n"/>
      <c r="F72" s="12" t="n"/>
      <c r="G72" s="12" t="n"/>
      <c r="H72" s="12" t="n"/>
      <c r="I72" s="12" t="n"/>
      <c r="J72" s="13" t="n"/>
      <c r="K72" s="13" t="n"/>
      <c r="L72" s="13" t="n"/>
      <c r="M72" s="12" t="n"/>
      <c r="N72" s="12">
        <f>IF(AND(F72&lt;&gt;"",G72&lt;&gt;"",M72&lt;&gt;""),IF(D72="LONG",(M72-F72)/(F72-G72),(H72-M72)/(H72-G72)),"")</f>
        <v/>
      </c>
      <c r="O72" s="14">
        <f>IF(N72&gt;0,1,IF(N72&lt;0,0,""))</f>
        <v/>
      </c>
      <c r="P72" s="11" t="n"/>
    </row>
    <row r="73">
      <c r="A73" s="11" t="n"/>
      <c r="B73" s="11" t="n"/>
      <c r="C73" s="11" t="n"/>
      <c r="D73" s="11" t="n"/>
      <c r="E73" s="11" t="n"/>
      <c r="F73" s="12" t="n"/>
      <c r="G73" s="12" t="n"/>
      <c r="H73" s="12" t="n"/>
      <c r="I73" s="12" t="n"/>
      <c r="J73" s="13" t="n"/>
      <c r="K73" s="13" t="n"/>
      <c r="L73" s="13" t="n"/>
      <c r="M73" s="12" t="n"/>
      <c r="N73" s="12">
        <f>IF(AND(F73&lt;&gt;"",G73&lt;&gt;"",M73&lt;&gt;""),IF(D73="LONG",(M73-F73)/(F73-G73),(H73-M73)/(H73-G73)),"")</f>
        <v/>
      </c>
      <c r="O73" s="14">
        <f>IF(N73&gt;0,1,IF(N73&lt;0,0,""))</f>
        <v/>
      </c>
      <c r="P73" s="11" t="n"/>
    </row>
    <row r="74">
      <c r="A74" s="11" t="n"/>
      <c r="B74" s="11" t="n"/>
      <c r="C74" s="11" t="n"/>
      <c r="D74" s="11" t="n"/>
      <c r="E74" s="11" t="n"/>
      <c r="F74" s="12" t="n"/>
      <c r="G74" s="12" t="n"/>
      <c r="H74" s="12" t="n"/>
      <c r="I74" s="12" t="n"/>
      <c r="J74" s="13" t="n"/>
      <c r="K74" s="13" t="n"/>
      <c r="L74" s="13" t="n"/>
      <c r="M74" s="12" t="n"/>
      <c r="N74" s="12">
        <f>IF(AND(F74&lt;&gt;"",G74&lt;&gt;"",M74&lt;&gt;""),IF(D74="LONG",(M74-F74)/(F74-G74),(H74-M74)/(H74-G74)),"")</f>
        <v/>
      </c>
      <c r="O74" s="14">
        <f>IF(N74&gt;0,1,IF(N74&lt;0,0,""))</f>
        <v/>
      </c>
      <c r="P74" s="11" t="n"/>
    </row>
    <row r="75">
      <c r="A75" s="11" t="n"/>
      <c r="B75" s="11" t="n"/>
      <c r="C75" s="11" t="n"/>
      <c r="D75" s="11" t="n"/>
      <c r="E75" s="11" t="n"/>
      <c r="F75" s="12" t="n"/>
      <c r="G75" s="12" t="n"/>
      <c r="H75" s="12" t="n"/>
      <c r="I75" s="12" t="n"/>
      <c r="J75" s="13" t="n"/>
      <c r="K75" s="13" t="n"/>
      <c r="L75" s="13" t="n"/>
      <c r="M75" s="12" t="n"/>
      <c r="N75" s="12">
        <f>IF(AND(F75&lt;&gt;"",G75&lt;&gt;"",M75&lt;&gt;""),IF(D75="LONG",(M75-F75)/(F75-G75),(H75-M75)/(H75-G75)),"")</f>
        <v/>
      </c>
      <c r="O75" s="14">
        <f>IF(N75&gt;0,1,IF(N75&lt;0,0,""))</f>
        <v/>
      </c>
      <c r="P75" s="11" t="n"/>
    </row>
    <row r="76">
      <c r="A76" s="11" t="n"/>
      <c r="B76" s="11" t="n"/>
      <c r="C76" s="11" t="n"/>
      <c r="D76" s="11" t="n"/>
      <c r="E76" s="11" t="n"/>
      <c r="F76" s="12" t="n"/>
      <c r="G76" s="12" t="n"/>
      <c r="H76" s="12" t="n"/>
      <c r="I76" s="12" t="n"/>
      <c r="J76" s="13" t="n"/>
      <c r="K76" s="13" t="n"/>
      <c r="L76" s="13" t="n"/>
      <c r="M76" s="12" t="n"/>
      <c r="N76" s="12">
        <f>IF(AND(F76&lt;&gt;"",G76&lt;&gt;"",M76&lt;&gt;""),IF(D76="LONG",(M76-F76)/(F76-G76),(H76-M76)/(H76-G76)),"")</f>
        <v/>
      </c>
      <c r="O76" s="14">
        <f>IF(N76&gt;0,1,IF(N76&lt;0,0,""))</f>
        <v/>
      </c>
      <c r="P76" s="11" t="n"/>
    </row>
    <row r="77">
      <c r="A77" s="11" t="n"/>
      <c r="B77" s="11" t="n"/>
      <c r="C77" s="11" t="n"/>
      <c r="D77" s="11" t="n"/>
      <c r="E77" s="11" t="n"/>
      <c r="F77" s="12" t="n"/>
      <c r="G77" s="12" t="n"/>
      <c r="H77" s="12" t="n"/>
      <c r="I77" s="12" t="n"/>
      <c r="J77" s="13" t="n"/>
      <c r="K77" s="13" t="n"/>
      <c r="L77" s="13" t="n"/>
      <c r="M77" s="12" t="n"/>
      <c r="N77" s="12">
        <f>IF(AND(F77&lt;&gt;"",G77&lt;&gt;"",M77&lt;&gt;""),IF(D77="LONG",(M77-F77)/(F77-G77),(H77-M77)/(H77-G77)),"")</f>
        <v/>
      </c>
      <c r="O77" s="14">
        <f>IF(N77&gt;0,1,IF(N77&lt;0,0,""))</f>
        <v/>
      </c>
      <c r="P77" s="11" t="n"/>
    </row>
    <row r="78">
      <c r="A78" s="11" t="n"/>
      <c r="B78" s="11" t="n"/>
      <c r="C78" s="11" t="n"/>
      <c r="D78" s="11" t="n"/>
      <c r="E78" s="11" t="n"/>
      <c r="F78" s="12" t="n"/>
      <c r="G78" s="12" t="n"/>
      <c r="H78" s="12" t="n"/>
      <c r="I78" s="12" t="n"/>
      <c r="J78" s="13" t="n"/>
      <c r="K78" s="13" t="n"/>
      <c r="L78" s="13" t="n"/>
      <c r="M78" s="12" t="n"/>
      <c r="N78" s="12">
        <f>IF(AND(F78&lt;&gt;"",G78&lt;&gt;"",M78&lt;&gt;""),IF(D78="LONG",(M78-F78)/(F78-G78),(H78-M78)/(H78-G78)),"")</f>
        <v/>
      </c>
      <c r="O78" s="14">
        <f>IF(N78&gt;0,1,IF(N78&lt;0,0,""))</f>
        <v/>
      </c>
      <c r="P78" s="11" t="n"/>
    </row>
    <row r="79">
      <c r="A79" s="11" t="n"/>
      <c r="B79" s="11" t="n"/>
      <c r="C79" s="11" t="n"/>
      <c r="D79" s="11" t="n"/>
      <c r="E79" s="11" t="n"/>
      <c r="F79" s="12" t="n"/>
      <c r="G79" s="12" t="n"/>
      <c r="H79" s="12" t="n"/>
      <c r="I79" s="12" t="n"/>
      <c r="J79" s="13" t="n"/>
      <c r="K79" s="13" t="n"/>
      <c r="L79" s="13" t="n"/>
      <c r="M79" s="12" t="n"/>
      <c r="N79" s="12">
        <f>IF(AND(F79&lt;&gt;"",G79&lt;&gt;"",M79&lt;&gt;""),IF(D79="LONG",(M79-F79)/(F79-G79),(H79-M79)/(H79-G79)),"")</f>
        <v/>
      </c>
      <c r="O79" s="14">
        <f>IF(N79&gt;0,1,IF(N79&lt;0,0,""))</f>
        <v/>
      </c>
      <c r="P79" s="11" t="n"/>
    </row>
    <row r="80">
      <c r="A80" s="11" t="n"/>
      <c r="B80" s="11" t="n"/>
      <c r="C80" s="11" t="n"/>
      <c r="D80" s="11" t="n"/>
      <c r="E80" s="11" t="n"/>
      <c r="F80" s="12" t="n"/>
      <c r="G80" s="12" t="n"/>
      <c r="H80" s="12" t="n"/>
      <c r="I80" s="12" t="n"/>
      <c r="J80" s="13" t="n"/>
      <c r="K80" s="13" t="n"/>
      <c r="L80" s="13" t="n"/>
      <c r="M80" s="12" t="n"/>
      <c r="N80" s="12">
        <f>IF(AND(F80&lt;&gt;"",G80&lt;&gt;"",M80&lt;&gt;""),IF(D80="LONG",(M80-F80)/(F80-G80),(H80-M80)/(H80-G80)),"")</f>
        <v/>
      </c>
      <c r="O80" s="14">
        <f>IF(N80&gt;0,1,IF(N80&lt;0,0,""))</f>
        <v/>
      </c>
      <c r="P80" s="11" t="n"/>
    </row>
    <row r="81">
      <c r="A81" s="11" t="n"/>
      <c r="B81" s="11" t="n"/>
      <c r="C81" s="11" t="n"/>
      <c r="D81" s="11" t="n"/>
      <c r="E81" s="11" t="n"/>
      <c r="F81" s="12" t="n"/>
      <c r="G81" s="12" t="n"/>
      <c r="H81" s="12" t="n"/>
      <c r="I81" s="12" t="n"/>
      <c r="J81" s="13" t="n"/>
      <c r="K81" s="13" t="n"/>
      <c r="L81" s="13" t="n"/>
      <c r="M81" s="12" t="n"/>
      <c r="N81" s="12">
        <f>IF(AND(F81&lt;&gt;"",G81&lt;&gt;"",M81&lt;&gt;""),IF(D81="LONG",(M81-F81)/(F81-G81),(H81-M81)/(H81-G81)),"")</f>
        <v/>
      </c>
      <c r="O81" s="14">
        <f>IF(N81&gt;0,1,IF(N81&lt;0,0,""))</f>
        <v/>
      </c>
      <c r="P81" s="11" t="n"/>
    </row>
    <row r="82">
      <c r="A82" s="11" t="n"/>
      <c r="B82" s="11" t="n"/>
      <c r="C82" s="11" t="n"/>
      <c r="D82" s="11" t="n"/>
      <c r="E82" s="11" t="n"/>
      <c r="F82" s="12" t="n"/>
      <c r="G82" s="12" t="n"/>
      <c r="H82" s="12" t="n"/>
      <c r="I82" s="12" t="n"/>
      <c r="J82" s="13" t="n"/>
      <c r="K82" s="13" t="n"/>
      <c r="L82" s="13" t="n"/>
      <c r="M82" s="12" t="n"/>
      <c r="N82" s="12">
        <f>IF(AND(F82&lt;&gt;"",G82&lt;&gt;"",M82&lt;&gt;""),IF(D82="LONG",(M82-F82)/(F82-G82),(H82-M82)/(H82-G82)),"")</f>
        <v/>
      </c>
      <c r="O82" s="14">
        <f>IF(N82&gt;0,1,IF(N82&lt;0,0,""))</f>
        <v/>
      </c>
      <c r="P82" s="11" t="n"/>
    </row>
    <row r="83">
      <c r="A83" s="11" t="n"/>
      <c r="B83" s="11" t="n"/>
      <c r="C83" s="11" t="n"/>
      <c r="D83" s="11" t="n"/>
      <c r="E83" s="11" t="n"/>
      <c r="F83" s="12" t="n"/>
      <c r="G83" s="12" t="n"/>
      <c r="H83" s="12" t="n"/>
      <c r="I83" s="12" t="n"/>
      <c r="J83" s="13" t="n"/>
      <c r="K83" s="13" t="n"/>
      <c r="L83" s="13" t="n"/>
      <c r="M83" s="12" t="n"/>
      <c r="N83" s="12">
        <f>IF(AND(F83&lt;&gt;"",G83&lt;&gt;"",M83&lt;&gt;""),IF(D83="LONG",(M83-F83)/(F83-G83),(H83-M83)/(H83-G83)),"")</f>
        <v/>
      </c>
      <c r="O83" s="14">
        <f>IF(N83&gt;0,1,IF(N83&lt;0,0,""))</f>
        <v/>
      </c>
      <c r="P83" s="11" t="n"/>
    </row>
    <row r="84">
      <c r="A84" s="11" t="n"/>
      <c r="B84" s="11" t="n"/>
      <c r="C84" s="11" t="n"/>
      <c r="D84" s="11" t="n"/>
      <c r="E84" s="11" t="n"/>
      <c r="F84" s="12" t="n"/>
      <c r="G84" s="12" t="n"/>
      <c r="H84" s="12" t="n"/>
      <c r="I84" s="12" t="n"/>
      <c r="J84" s="13" t="n"/>
      <c r="K84" s="13" t="n"/>
      <c r="L84" s="13" t="n"/>
      <c r="M84" s="12" t="n"/>
      <c r="N84" s="12">
        <f>IF(AND(F84&lt;&gt;"",G84&lt;&gt;"",M84&lt;&gt;""),IF(D84="LONG",(M84-F84)/(F84-G84),(H84-M84)/(H84-G84)),"")</f>
        <v/>
      </c>
      <c r="O84" s="14">
        <f>IF(N84&gt;0,1,IF(N84&lt;0,0,""))</f>
        <v/>
      </c>
      <c r="P84" s="11" t="n"/>
    </row>
    <row r="85">
      <c r="A85" s="11" t="n"/>
      <c r="B85" s="11" t="n"/>
      <c r="C85" s="11" t="n"/>
      <c r="D85" s="11" t="n"/>
      <c r="E85" s="11" t="n"/>
      <c r="F85" s="12" t="n"/>
      <c r="G85" s="12" t="n"/>
      <c r="H85" s="12" t="n"/>
      <c r="I85" s="12" t="n"/>
      <c r="J85" s="13" t="n"/>
      <c r="K85" s="13" t="n"/>
      <c r="L85" s="13" t="n"/>
      <c r="M85" s="12" t="n"/>
      <c r="N85" s="12">
        <f>IF(AND(F85&lt;&gt;"",G85&lt;&gt;"",M85&lt;&gt;""),IF(D85="LONG",(M85-F85)/(F85-G85),(H85-M85)/(H85-G85)),"")</f>
        <v/>
      </c>
      <c r="O85" s="14">
        <f>IF(N85&gt;0,1,IF(N85&lt;0,0,""))</f>
        <v/>
      </c>
      <c r="P85" s="11" t="n"/>
    </row>
    <row r="86">
      <c r="A86" s="11" t="n"/>
      <c r="B86" s="11" t="n"/>
      <c r="C86" s="11" t="n"/>
      <c r="D86" s="11" t="n"/>
      <c r="E86" s="11" t="n"/>
      <c r="F86" s="12" t="n"/>
      <c r="G86" s="12" t="n"/>
      <c r="H86" s="12" t="n"/>
      <c r="I86" s="12" t="n"/>
      <c r="J86" s="13" t="n"/>
      <c r="K86" s="13" t="n"/>
      <c r="L86" s="13" t="n"/>
      <c r="M86" s="12" t="n"/>
      <c r="N86" s="12">
        <f>IF(AND(F86&lt;&gt;"",G86&lt;&gt;"",M86&lt;&gt;""),IF(D86="LONG",(M86-F86)/(F86-G86),(H86-M86)/(H86-G86)),"")</f>
        <v/>
      </c>
      <c r="O86" s="14">
        <f>IF(N86&gt;0,1,IF(N86&lt;0,0,""))</f>
        <v/>
      </c>
      <c r="P86" s="11" t="n"/>
    </row>
    <row r="87">
      <c r="A87" s="11" t="n"/>
      <c r="B87" s="11" t="n"/>
      <c r="C87" s="11" t="n"/>
      <c r="D87" s="11" t="n"/>
      <c r="E87" s="11" t="n"/>
      <c r="F87" s="12" t="n"/>
      <c r="G87" s="12" t="n"/>
      <c r="H87" s="12" t="n"/>
      <c r="I87" s="12" t="n"/>
      <c r="J87" s="13" t="n"/>
      <c r="K87" s="13" t="n"/>
      <c r="L87" s="13" t="n"/>
      <c r="M87" s="12" t="n"/>
      <c r="N87" s="12">
        <f>IF(AND(F87&lt;&gt;"",G87&lt;&gt;"",M87&lt;&gt;""),IF(D87="LONG",(M87-F87)/(F87-G87),(H87-M87)/(H87-G87)),"")</f>
        <v/>
      </c>
      <c r="O87" s="14">
        <f>IF(N87&gt;0,1,IF(N87&lt;0,0,""))</f>
        <v/>
      </c>
      <c r="P87" s="11" t="n"/>
    </row>
    <row r="88">
      <c r="A88" s="11" t="n"/>
      <c r="B88" s="11" t="n"/>
      <c r="C88" s="11" t="n"/>
      <c r="D88" s="11" t="n"/>
      <c r="E88" s="11" t="n"/>
      <c r="F88" s="12" t="n"/>
      <c r="G88" s="12" t="n"/>
      <c r="H88" s="12" t="n"/>
      <c r="I88" s="12" t="n"/>
      <c r="J88" s="13" t="n"/>
      <c r="K88" s="13" t="n"/>
      <c r="L88" s="13" t="n"/>
      <c r="M88" s="12" t="n"/>
      <c r="N88" s="12">
        <f>IF(AND(F88&lt;&gt;"",G88&lt;&gt;"",M88&lt;&gt;""),IF(D88="LONG",(M88-F88)/(F88-G88),(H88-M88)/(H88-G88)),"")</f>
        <v/>
      </c>
      <c r="O88" s="14">
        <f>IF(N88&gt;0,1,IF(N88&lt;0,0,""))</f>
        <v/>
      </c>
      <c r="P88" s="11" t="n"/>
    </row>
    <row r="89">
      <c r="A89" s="11" t="n"/>
      <c r="B89" s="11" t="n"/>
      <c r="C89" s="11" t="n"/>
      <c r="D89" s="11" t="n"/>
      <c r="E89" s="11" t="n"/>
      <c r="F89" s="12" t="n"/>
      <c r="G89" s="12" t="n"/>
      <c r="H89" s="12" t="n"/>
      <c r="I89" s="12" t="n"/>
      <c r="J89" s="13" t="n"/>
      <c r="K89" s="13" t="n"/>
      <c r="L89" s="13" t="n"/>
      <c r="M89" s="12" t="n"/>
      <c r="N89" s="12">
        <f>IF(AND(F89&lt;&gt;"",G89&lt;&gt;"",M89&lt;&gt;""),IF(D89="LONG",(M89-F89)/(F89-G89),(H89-M89)/(H89-G89)),"")</f>
        <v/>
      </c>
      <c r="O89" s="14">
        <f>IF(N89&gt;0,1,IF(N89&lt;0,0,""))</f>
        <v/>
      </c>
      <c r="P89" s="11" t="n"/>
    </row>
    <row r="90">
      <c r="A90" s="11" t="n"/>
      <c r="B90" s="11" t="n"/>
      <c r="C90" s="11" t="n"/>
      <c r="D90" s="11" t="n"/>
      <c r="E90" s="11" t="n"/>
      <c r="F90" s="12" t="n"/>
      <c r="G90" s="12" t="n"/>
      <c r="H90" s="12" t="n"/>
      <c r="I90" s="12" t="n"/>
      <c r="J90" s="13" t="n"/>
      <c r="K90" s="13" t="n"/>
      <c r="L90" s="13" t="n"/>
      <c r="M90" s="12" t="n"/>
      <c r="N90" s="12">
        <f>IF(AND(F90&lt;&gt;"",G90&lt;&gt;"",M90&lt;&gt;""),IF(D90="LONG",(M90-F90)/(F90-G90),(H90-M90)/(H90-G90)),"")</f>
        <v/>
      </c>
      <c r="O90" s="14">
        <f>IF(N90&gt;0,1,IF(N90&lt;0,0,""))</f>
        <v/>
      </c>
      <c r="P90" s="11" t="n"/>
    </row>
    <row r="91">
      <c r="A91" s="11" t="n"/>
      <c r="B91" s="11" t="n"/>
      <c r="C91" s="11" t="n"/>
      <c r="D91" s="11" t="n"/>
      <c r="E91" s="11" t="n"/>
      <c r="F91" s="12" t="n"/>
      <c r="G91" s="12" t="n"/>
      <c r="H91" s="12" t="n"/>
      <c r="I91" s="12" t="n"/>
      <c r="J91" s="13" t="n"/>
      <c r="K91" s="13" t="n"/>
      <c r="L91" s="13" t="n"/>
      <c r="M91" s="12" t="n"/>
      <c r="N91" s="12">
        <f>IF(AND(F91&lt;&gt;"",G91&lt;&gt;"",M91&lt;&gt;""),IF(D91="LONG",(M91-F91)/(F91-G91),(H91-M91)/(H91-G91)),"")</f>
        <v/>
      </c>
      <c r="O91" s="14">
        <f>IF(N91&gt;0,1,IF(N91&lt;0,0,""))</f>
        <v/>
      </c>
      <c r="P91" s="11" t="n"/>
    </row>
    <row r="92">
      <c r="A92" s="11" t="n"/>
      <c r="B92" s="11" t="n"/>
      <c r="C92" s="11" t="n"/>
      <c r="D92" s="11" t="n"/>
      <c r="E92" s="11" t="n"/>
      <c r="F92" s="12" t="n"/>
      <c r="G92" s="12" t="n"/>
      <c r="H92" s="12" t="n"/>
      <c r="I92" s="12" t="n"/>
      <c r="J92" s="13" t="n"/>
      <c r="K92" s="13" t="n"/>
      <c r="L92" s="13" t="n"/>
      <c r="M92" s="12" t="n"/>
      <c r="N92" s="12">
        <f>IF(AND(F92&lt;&gt;"",G92&lt;&gt;"",M92&lt;&gt;""),IF(D92="LONG",(M92-F92)/(F92-G92),(H92-M92)/(H92-G92)),"")</f>
        <v/>
      </c>
      <c r="O92" s="14">
        <f>IF(N92&gt;0,1,IF(N92&lt;0,0,""))</f>
        <v/>
      </c>
      <c r="P92" s="11" t="n"/>
    </row>
    <row r="93">
      <c r="A93" s="11" t="n"/>
      <c r="B93" s="11" t="n"/>
      <c r="C93" s="11" t="n"/>
      <c r="D93" s="11" t="n"/>
      <c r="E93" s="11" t="n"/>
      <c r="F93" s="12" t="n"/>
      <c r="G93" s="12" t="n"/>
      <c r="H93" s="12" t="n"/>
      <c r="I93" s="12" t="n"/>
      <c r="J93" s="13" t="n"/>
      <c r="K93" s="13" t="n"/>
      <c r="L93" s="13" t="n"/>
      <c r="M93" s="12" t="n"/>
      <c r="N93" s="12">
        <f>IF(AND(F93&lt;&gt;"",G93&lt;&gt;"",M93&lt;&gt;""),IF(D93="LONG",(M93-F93)/(F93-G93),(H93-M93)/(H93-G93)),"")</f>
        <v/>
      </c>
      <c r="O93" s="14">
        <f>IF(N93&gt;0,1,IF(N93&lt;0,0,""))</f>
        <v/>
      </c>
      <c r="P93" s="11" t="n"/>
    </row>
    <row r="94">
      <c r="A94" s="11" t="n"/>
      <c r="B94" s="11" t="n"/>
      <c r="C94" s="11" t="n"/>
      <c r="D94" s="11" t="n"/>
      <c r="E94" s="11" t="n"/>
      <c r="F94" s="12" t="n"/>
      <c r="G94" s="12" t="n"/>
      <c r="H94" s="12" t="n"/>
      <c r="I94" s="12" t="n"/>
      <c r="J94" s="13" t="n"/>
      <c r="K94" s="13" t="n"/>
      <c r="L94" s="13" t="n"/>
      <c r="M94" s="12" t="n"/>
      <c r="N94" s="12">
        <f>IF(AND(F94&lt;&gt;"",G94&lt;&gt;"",M94&lt;&gt;""),IF(D94="LONG",(M94-F94)/(F94-G94),(H94-M94)/(H94-G94)),"")</f>
        <v/>
      </c>
      <c r="O94" s="14">
        <f>IF(N94&gt;0,1,IF(N94&lt;0,0,""))</f>
        <v/>
      </c>
      <c r="P94" s="11" t="n"/>
    </row>
    <row r="95">
      <c r="A95" s="11" t="n"/>
      <c r="B95" s="11" t="n"/>
      <c r="C95" s="11" t="n"/>
      <c r="D95" s="11" t="n"/>
      <c r="E95" s="11" t="n"/>
      <c r="F95" s="12" t="n"/>
      <c r="G95" s="12" t="n"/>
      <c r="H95" s="12" t="n"/>
      <c r="I95" s="12" t="n"/>
      <c r="J95" s="13" t="n"/>
      <c r="K95" s="13" t="n"/>
      <c r="L95" s="13" t="n"/>
      <c r="M95" s="12" t="n"/>
      <c r="N95" s="12">
        <f>IF(AND(F95&lt;&gt;"",G95&lt;&gt;"",M95&lt;&gt;""),IF(D95="LONG",(M95-F95)/(F95-G95),(H95-M95)/(H95-G95)),"")</f>
        <v/>
      </c>
      <c r="O95" s="14">
        <f>IF(N95&gt;0,1,IF(N95&lt;0,0,""))</f>
        <v/>
      </c>
      <c r="P95" s="11" t="n"/>
    </row>
    <row r="96">
      <c r="A96" s="11" t="n"/>
      <c r="B96" s="11" t="n"/>
      <c r="C96" s="11" t="n"/>
      <c r="D96" s="11" t="n"/>
      <c r="E96" s="11" t="n"/>
      <c r="F96" s="12" t="n"/>
      <c r="G96" s="12" t="n"/>
      <c r="H96" s="12" t="n"/>
      <c r="I96" s="12" t="n"/>
      <c r="J96" s="13" t="n"/>
      <c r="K96" s="13" t="n"/>
      <c r="L96" s="13" t="n"/>
      <c r="M96" s="12" t="n"/>
      <c r="N96" s="12">
        <f>IF(AND(F96&lt;&gt;"",G96&lt;&gt;"",M96&lt;&gt;""),IF(D96="LONG",(M96-F96)/(F96-G96),(H96-M96)/(H96-G96)),"")</f>
        <v/>
      </c>
      <c r="O96" s="14">
        <f>IF(N96&gt;0,1,IF(N96&lt;0,0,""))</f>
        <v/>
      </c>
      <c r="P96" s="11" t="n"/>
    </row>
    <row r="97">
      <c r="A97" s="11" t="n"/>
      <c r="B97" s="11" t="n"/>
      <c r="C97" s="11" t="n"/>
      <c r="D97" s="11" t="n"/>
      <c r="E97" s="11" t="n"/>
      <c r="F97" s="12" t="n"/>
      <c r="G97" s="12" t="n"/>
      <c r="H97" s="12" t="n"/>
      <c r="I97" s="12" t="n"/>
      <c r="J97" s="13" t="n"/>
      <c r="K97" s="13" t="n"/>
      <c r="L97" s="13" t="n"/>
      <c r="M97" s="12" t="n"/>
      <c r="N97" s="12">
        <f>IF(AND(F97&lt;&gt;"",G97&lt;&gt;"",M97&lt;&gt;""),IF(D97="LONG",(M97-F97)/(F97-G97),(H97-M97)/(H97-G97)),"")</f>
        <v/>
      </c>
      <c r="O97" s="14">
        <f>IF(N97&gt;0,1,IF(N97&lt;0,0,""))</f>
        <v/>
      </c>
      <c r="P97" s="11" t="n"/>
    </row>
    <row r="98">
      <c r="A98" s="11" t="n"/>
      <c r="B98" s="11" t="n"/>
      <c r="C98" s="11" t="n"/>
      <c r="D98" s="11" t="n"/>
      <c r="E98" s="11" t="n"/>
      <c r="F98" s="12" t="n"/>
      <c r="G98" s="12" t="n"/>
      <c r="H98" s="12" t="n"/>
      <c r="I98" s="12" t="n"/>
      <c r="J98" s="13" t="n"/>
      <c r="K98" s="13" t="n"/>
      <c r="L98" s="13" t="n"/>
      <c r="M98" s="12" t="n"/>
      <c r="N98" s="12">
        <f>IF(AND(F98&lt;&gt;"",G98&lt;&gt;"",M98&lt;&gt;""),IF(D98="LONG",(M98-F98)/(F98-G98),(H98-M98)/(H98-G98)),"")</f>
        <v/>
      </c>
      <c r="O98" s="14">
        <f>IF(N98&gt;0,1,IF(N98&lt;0,0,""))</f>
        <v/>
      </c>
      <c r="P98" s="11" t="n"/>
    </row>
    <row r="99">
      <c r="A99" s="11" t="n"/>
      <c r="B99" s="11" t="n"/>
      <c r="C99" s="11" t="n"/>
      <c r="D99" s="11" t="n"/>
      <c r="E99" s="11" t="n"/>
      <c r="F99" s="12" t="n"/>
      <c r="G99" s="12" t="n"/>
      <c r="H99" s="12" t="n"/>
      <c r="I99" s="12" t="n"/>
      <c r="J99" s="13" t="n"/>
      <c r="K99" s="13" t="n"/>
      <c r="L99" s="13" t="n"/>
      <c r="M99" s="12" t="n"/>
      <c r="N99" s="12">
        <f>IF(AND(F99&lt;&gt;"",G99&lt;&gt;"",M99&lt;&gt;""),IF(D99="LONG",(M99-F99)/(F99-G99),(H99-M99)/(H99-G99)),"")</f>
        <v/>
      </c>
      <c r="O99" s="14">
        <f>IF(N99&gt;0,1,IF(N99&lt;0,0,""))</f>
        <v/>
      </c>
      <c r="P99" s="11" t="n"/>
    </row>
    <row r="100">
      <c r="A100" s="11" t="n"/>
      <c r="B100" s="11" t="n"/>
      <c r="C100" s="11" t="n"/>
      <c r="D100" s="11" t="n"/>
      <c r="E100" s="11" t="n"/>
      <c r="F100" s="12" t="n"/>
      <c r="G100" s="12" t="n"/>
      <c r="H100" s="12" t="n"/>
      <c r="I100" s="12" t="n"/>
      <c r="J100" s="13" t="n"/>
      <c r="K100" s="13" t="n"/>
      <c r="L100" s="13" t="n"/>
      <c r="M100" s="12" t="n"/>
      <c r="N100" s="12">
        <f>IF(AND(F100&lt;&gt;"",G100&lt;&gt;"",M100&lt;&gt;""),IF(D100="LONG",(M100-F100)/(F100-G100),(H100-M100)/(H100-G100)),"")</f>
        <v/>
      </c>
      <c r="O100" s="14">
        <f>IF(N100&gt;0,1,IF(N100&lt;0,0,""))</f>
        <v/>
      </c>
      <c r="P100" s="11" t="n"/>
    </row>
    <row r="101">
      <c r="A101" s="11" t="n"/>
      <c r="B101" s="11" t="n"/>
      <c r="C101" s="11" t="n"/>
      <c r="D101" s="11" t="n"/>
      <c r="E101" s="11" t="n"/>
      <c r="F101" s="12" t="n"/>
      <c r="G101" s="12" t="n"/>
      <c r="H101" s="12" t="n"/>
      <c r="I101" s="12" t="n"/>
      <c r="J101" s="13" t="n"/>
      <c r="K101" s="13" t="n"/>
      <c r="L101" s="13" t="n"/>
      <c r="M101" s="12" t="n"/>
      <c r="N101" s="12">
        <f>IF(AND(F101&lt;&gt;"",G101&lt;&gt;"",M101&lt;&gt;""),IF(D101="LONG",(M101-F101)/(F101-G101),(H101-M101)/(H101-G101)),"")</f>
        <v/>
      </c>
      <c r="O101" s="14">
        <f>IF(N101&gt;0,1,IF(N101&lt;0,0,""))</f>
        <v/>
      </c>
      <c r="P101" s="11" t="n"/>
    </row>
    <row r="102">
      <c r="A102" s="11" t="n"/>
      <c r="B102" s="11" t="n"/>
      <c r="C102" s="11" t="n"/>
      <c r="D102" s="11" t="n"/>
      <c r="E102" s="11" t="n"/>
      <c r="F102" s="12" t="n"/>
      <c r="G102" s="12" t="n"/>
      <c r="H102" s="12" t="n"/>
      <c r="I102" s="12" t="n"/>
      <c r="J102" s="13" t="n"/>
      <c r="K102" s="13" t="n"/>
      <c r="L102" s="13" t="n"/>
      <c r="M102" s="12" t="n"/>
      <c r="N102" s="12">
        <f>IF(AND(F102&lt;&gt;"",G102&lt;&gt;"",M102&lt;&gt;""),IF(D102="LONG",(M102-F102)/(F102-G102),(H102-M102)/(H102-G102)),"")</f>
        <v/>
      </c>
      <c r="O102" s="14">
        <f>IF(N102&gt;0,1,IF(N102&lt;0,0,""))</f>
        <v/>
      </c>
      <c r="P102" s="11" t="n"/>
    </row>
    <row r="103">
      <c r="A103" s="11" t="n"/>
      <c r="B103" s="11" t="n"/>
      <c r="C103" s="11" t="n"/>
      <c r="D103" s="11" t="n"/>
      <c r="E103" s="11" t="n"/>
      <c r="F103" s="12" t="n"/>
      <c r="G103" s="12" t="n"/>
      <c r="H103" s="12" t="n"/>
      <c r="I103" s="12" t="n"/>
      <c r="J103" s="13" t="n"/>
      <c r="K103" s="13" t="n"/>
      <c r="L103" s="13" t="n"/>
      <c r="M103" s="12" t="n"/>
      <c r="N103" s="12">
        <f>IF(AND(F103&lt;&gt;"",G103&lt;&gt;"",M103&lt;&gt;""),IF(D103="LONG",(M103-F103)/(F103-G103),(H103-M103)/(H103-G103)),"")</f>
        <v/>
      </c>
      <c r="O103" s="14">
        <f>IF(N103&gt;0,1,IF(N103&lt;0,0,""))</f>
        <v/>
      </c>
      <c r="P103" s="11" t="n"/>
    </row>
    <row r="104">
      <c r="A104" s="11" t="n"/>
      <c r="B104" s="11" t="n"/>
      <c r="C104" s="11" t="n"/>
      <c r="D104" s="11" t="n"/>
      <c r="E104" s="11" t="n"/>
      <c r="F104" s="12" t="n"/>
      <c r="G104" s="12" t="n"/>
      <c r="H104" s="12" t="n"/>
      <c r="I104" s="12" t="n"/>
      <c r="J104" s="13" t="n"/>
      <c r="K104" s="13" t="n"/>
      <c r="L104" s="13" t="n"/>
      <c r="M104" s="12" t="n"/>
      <c r="N104" s="12">
        <f>IF(AND(F104&lt;&gt;"",G104&lt;&gt;"",M104&lt;&gt;""),IF(D104="LONG",(M104-F104)/(F104-G104),(H104-M104)/(H104-G104)),"")</f>
        <v/>
      </c>
      <c r="O104" s="14">
        <f>IF(N104&gt;0,1,IF(N104&lt;0,0,""))</f>
        <v/>
      </c>
      <c r="P104" s="11" t="n"/>
    </row>
    <row r="105">
      <c r="A105" s="11" t="n"/>
      <c r="B105" s="11" t="n"/>
      <c r="C105" s="11" t="n"/>
      <c r="D105" s="11" t="n"/>
      <c r="E105" s="11" t="n"/>
      <c r="F105" s="12" t="n"/>
      <c r="G105" s="12" t="n"/>
      <c r="H105" s="12" t="n"/>
      <c r="I105" s="12" t="n"/>
      <c r="J105" s="13" t="n"/>
      <c r="K105" s="13" t="n"/>
      <c r="L105" s="13" t="n"/>
      <c r="M105" s="12" t="n"/>
      <c r="N105" s="12">
        <f>IF(AND(F105&lt;&gt;"",G105&lt;&gt;"",M105&lt;&gt;""),IF(D105="LONG",(M105-F105)/(F105-G105),(H105-M105)/(H105-G105)),"")</f>
        <v/>
      </c>
      <c r="O105" s="14">
        <f>IF(N105&gt;0,1,IF(N105&lt;0,0,""))</f>
        <v/>
      </c>
      <c r="P105" s="11" t="n"/>
    </row>
    <row r="106">
      <c r="A106" s="11" t="n"/>
      <c r="B106" s="11" t="n"/>
      <c r="C106" s="11" t="n"/>
      <c r="D106" s="11" t="n"/>
      <c r="E106" s="11" t="n"/>
      <c r="F106" s="12" t="n"/>
      <c r="G106" s="12" t="n"/>
      <c r="H106" s="12" t="n"/>
      <c r="I106" s="12" t="n"/>
      <c r="J106" s="13" t="n"/>
      <c r="K106" s="13" t="n"/>
      <c r="L106" s="13" t="n"/>
      <c r="M106" s="12" t="n"/>
      <c r="N106" s="12">
        <f>IF(AND(F106&lt;&gt;"",G106&lt;&gt;"",M106&lt;&gt;""),IF(D106="LONG",(M106-F106)/(F106-G106),(H106-M106)/(H106-G106)),"")</f>
        <v/>
      </c>
      <c r="O106" s="14">
        <f>IF(N106&gt;0,1,IF(N106&lt;0,0,""))</f>
        <v/>
      </c>
      <c r="P106" s="11" t="n"/>
    </row>
    <row r="107">
      <c r="A107" s="11" t="n"/>
      <c r="B107" s="11" t="n"/>
      <c r="C107" s="11" t="n"/>
      <c r="D107" s="11" t="n"/>
      <c r="E107" s="11" t="n"/>
      <c r="F107" s="12" t="n"/>
      <c r="G107" s="12" t="n"/>
      <c r="H107" s="12" t="n"/>
      <c r="I107" s="12" t="n"/>
      <c r="J107" s="13" t="n"/>
      <c r="K107" s="13" t="n"/>
      <c r="L107" s="13" t="n"/>
      <c r="M107" s="12" t="n"/>
      <c r="N107" s="12">
        <f>IF(AND(F107&lt;&gt;"",G107&lt;&gt;"",M107&lt;&gt;""),IF(D107="LONG",(M107-F107)/(F107-G107),(H107-M107)/(H107-G107)),"")</f>
        <v/>
      </c>
      <c r="O107" s="14">
        <f>IF(N107&gt;0,1,IF(N107&lt;0,0,""))</f>
        <v/>
      </c>
      <c r="P107" s="11" t="n"/>
    </row>
    <row r="108">
      <c r="A108" s="11" t="n"/>
      <c r="B108" s="11" t="n"/>
      <c r="C108" s="11" t="n"/>
      <c r="D108" s="11" t="n"/>
      <c r="E108" s="11" t="n"/>
      <c r="F108" s="12" t="n"/>
      <c r="G108" s="12" t="n"/>
      <c r="H108" s="12" t="n"/>
      <c r="I108" s="12" t="n"/>
      <c r="J108" s="13" t="n"/>
      <c r="K108" s="13" t="n"/>
      <c r="L108" s="13" t="n"/>
      <c r="M108" s="12" t="n"/>
      <c r="N108" s="12">
        <f>IF(AND(F108&lt;&gt;"",G108&lt;&gt;"",M108&lt;&gt;""),IF(D108="LONG",(M108-F108)/(F108-G108),(H108-M108)/(H108-G108)),"")</f>
        <v/>
      </c>
      <c r="O108" s="14">
        <f>IF(N108&gt;0,1,IF(N108&lt;0,0,""))</f>
        <v/>
      </c>
      <c r="P108" s="11" t="n"/>
    </row>
    <row r="109">
      <c r="A109" s="11" t="n"/>
      <c r="B109" s="11" t="n"/>
      <c r="C109" s="11" t="n"/>
      <c r="D109" s="11" t="n"/>
      <c r="E109" s="11" t="n"/>
      <c r="F109" s="12" t="n"/>
      <c r="G109" s="12" t="n"/>
      <c r="H109" s="12" t="n"/>
      <c r="I109" s="12" t="n"/>
      <c r="J109" s="13" t="n"/>
      <c r="K109" s="13" t="n"/>
      <c r="L109" s="13" t="n"/>
      <c r="M109" s="12" t="n"/>
      <c r="N109" s="12">
        <f>IF(AND(F109&lt;&gt;"",G109&lt;&gt;"",M109&lt;&gt;""),IF(D109="LONG",(M109-F109)/(F109-G109),(H109-M109)/(H109-G109)),"")</f>
        <v/>
      </c>
      <c r="O109" s="14">
        <f>IF(N109&gt;0,1,IF(N109&lt;0,0,""))</f>
        <v/>
      </c>
      <c r="P109" s="11" t="n"/>
    </row>
    <row r="110">
      <c r="A110" s="11" t="n"/>
      <c r="B110" s="11" t="n"/>
      <c r="C110" s="11" t="n"/>
      <c r="D110" s="11" t="n"/>
      <c r="E110" s="11" t="n"/>
      <c r="F110" s="12" t="n"/>
      <c r="G110" s="12" t="n"/>
      <c r="H110" s="12" t="n"/>
      <c r="I110" s="12" t="n"/>
      <c r="J110" s="13" t="n"/>
      <c r="K110" s="13" t="n"/>
      <c r="L110" s="13" t="n"/>
      <c r="M110" s="12" t="n"/>
      <c r="N110" s="12">
        <f>IF(AND(F110&lt;&gt;"",G110&lt;&gt;"",M110&lt;&gt;""),IF(D110="LONG",(M110-F110)/(F110-G110),(H110-M110)/(H110-G110)),"")</f>
        <v/>
      </c>
      <c r="O110" s="14">
        <f>IF(N110&gt;0,1,IF(N110&lt;0,0,""))</f>
        <v/>
      </c>
      <c r="P110" s="11" t="n"/>
    </row>
    <row r="111">
      <c r="A111" s="11" t="n"/>
      <c r="B111" s="11" t="n"/>
      <c r="C111" s="11" t="n"/>
      <c r="D111" s="11" t="n"/>
      <c r="E111" s="11" t="n"/>
      <c r="F111" s="12" t="n"/>
      <c r="G111" s="12" t="n"/>
      <c r="H111" s="12" t="n"/>
      <c r="I111" s="12" t="n"/>
      <c r="J111" s="13" t="n"/>
      <c r="K111" s="13" t="n"/>
      <c r="L111" s="13" t="n"/>
      <c r="M111" s="12" t="n"/>
      <c r="N111" s="12">
        <f>IF(AND(F111&lt;&gt;"",G111&lt;&gt;"",M111&lt;&gt;""),IF(D111="LONG",(M111-F111)/(F111-G111),(H111-M111)/(H111-G111)),"")</f>
        <v/>
      </c>
      <c r="O111" s="14">
        <f>IF(N111&gt;0,1,IF(N111&lt;0,0,""))</f>
        <v/>
      </c>
      <c r="P111" s="11" t="n"/>
    </row>
    <row r="112">
      <c r="A112" s="11" t="n"/>
      <c r="B112" s="11" t="n"/>
      <c r="C112" s="11" t="n"/>
      <c r="D112" s="11" t="n"/>
      <c r="E112" s="11" t="n"/>
      <c r="F112" s="12" t="n"/>
      <c r="G112" s="12" t="n"/>
      <c r="H112" s="12" t="n"/>
      <c r="I112" s="12" t="n"/>
      <c r="J112" s="13" t="n"/>
      <c r="K112" s="13" t="n"/>
      <c r="L112" s="13" t="n"/>
      <c r="M112" s="12" t="n"/>
      <c r="N112" s="12">
        <f>IF(AND(F112&lt;&gt;"",G112&lt;&gt;"",M112&lt;&gt;""),IF(D112="LONG",(M112-F112)/(F112-G112),(H112-M112)/(H112-G112)),"")</f>
        <v/>
      </c>
      <c r="O112" s="14">
        <f>IF(N112&gt;0,1,IF(N112&lt;0,0,""))</f>
        <v/>
      </c>
      <c r="P112" s="11" t="n"/>
    </row>
    <row r="113">
      <c r="A113" s="11" t="n"/>
      <c r="B113" s="11" t="n"/>
      <c r="C113" s="11" t="n"/>
      <c r="D113" s="11" t="n"/>
      <c r="E113" s="11" t="n"/>
      <c r="F113" s="12" t="n"/>
      <c r="G113" s="12" t="n"/>
      <c r="H113" s="12" t="n"/>
      <c r="I113" s="12" t="n"/>
      <c r="J113" s="13" t="n"/>
      <c r="K113" s="13" t="n"/>
      <c r="L113" s="13" t="n"/>
      <c r="M113" s="12" t="n"/>
      <c r="N113" s="12">
        <f>IF(AND(F113&lt;&gt;"",G113&lt;&gt;"",M113&lt;&gt;""),IF(D113="LONG",(M113-F113)/(F113-G113),(H113-M113)/(H113-G113)),"")</f>
        <v/>
      </c>
      <c r="O113" s="14">
        <f>IF(N113&gt;0,1,IF(N113&lt;0,0,""))</f>
        <v/>
      </c>
      <c r="P113" s="11" t="n"/>
    </row>
    <row r="116">
      <c r="A116" s="15" t="inlineStr">
        <is>
          <t>MÉTRICAS CALCULADAS</t>
        </is>
      </c>
    </row>
    <row r="118">
      <c r="A118" s="16" t="inlineStr">
        <is>
          <t>Trades Ganados</t>
        </is>
      </c>
      <c r="C118" s="17">
        <f>COUNTIF(O14:O113,1)</f>
        <v/>
      </c>
    </row>
    <row r="119">
      <c r="A119" s="16" t="inlineStr">
        <is>
          <t>Trades Perdidos</t>
        </is>
      </c>
      <c r="C119" s="17">
        <f>COUNTIF(O14:O113,0)</f>
        <v/>
      </c>
    </row>
    <row r="120">
      <c r="A120" s="16" t="inlineStr">
        <is>
          <t>Tier S Win %</t>
        </is>
      </c>
      <c r="C120" s="18">
        <f>IF(E120=0,0,(SUMIFS(O14:O113,D14:D113,"S")/E120)*100)</f>
        <v/>
      </c>
    </row>
    <row r="121">
      <c r="A121" s="16" t="inlineStr">
        <is>
          <t>Tier A Win %</t>
        </is>
      </c>
      <c r="C121" s="18">
        <f>IF(F121=0,0,(SUMIFS(O14:O113,D14:D113,"A")/F121)*100)</f>
        <v/>
      </c>
    </row>
    <row r="122">
      <c r="A122" s="16" t="inlineStr">
        <is>
          <t>Promedio R Perdedores</t>
        </is>
      </c>
      <c r="C122" s="17">
        <f>IF(COUNTIF(O14:O113,0)=0,0,ABS(AVERAGEIF(O14:O113,"&lt;0",N14:N113)))</f>
        <v/>
      </c>
    </row>
    <row r="123">
      <c r="A123" s="16" t="inlineStr">
        <is>
          <t>Net R</t>
        </is>
      </c>
      <c r="C123" s="17">
        <f>H123-I123</f>
        <v/>
      </c>
    </row>
    <row r="124">
      <c r="A124" s="16" t="inlineStr">
        <is>
          <t>Max Drawdown</t>
        </is>
      </c>
      <c r="C124" s="17">
        <f> (ver nota abajo)</f>
        <v/>
      </c>
    </row>
    <row r="127">
      <c r="A127" s="3" t="inlineStr">
        <is>
          <t>INTERPRETACIÓN DE MÉTRICAS</t>
        </is>
      </c>
    </row>
    <row r="128">
      <c r="A128" s="19" t="inlineStr">
        <is>
          <t>✅ Win Rate ≥65%: Bueno | ≥72%: Excelente | &lt;60%: Revisar estrategia</t>
        </is>
      </c>
    </row>
    <row r="129">
      <c r="A129" s="19" t="inlineStr">
        <is>
          <t>✅ Tier S Win % ≥75%: Filtro está funcionando bien</t>
        </is>
      </c>
    </row>
    <row r="130">
      <c r="A130" s="19" t="inlineStr">
        <is>
          <t>✅ Tier A Win % ≥65%: Aceptable</t>
        </is>
      </c>
    </row>
    <row r="131">
      <c r="A131" s="19" t="inlineStr">
        <is>
          <t>✅ Profit Factor ≥2.0: Excelente | 1.5-2.0: Bueno | &lt;1.5: Revisar</t>
        </is>
      </c>
    </row>
    <row r="132">
      <c r="A132" s="19" t="inlineStr">
        <is>
          <t>✅ Expectancy ≥+0.5R: Rentable | ≥+1.0R: Muy rentable</t>
        </is>
      </c>
    </row>
    <row r="133">
      <c r="A133" s="19" t="inlineStr">
        <is>
          <t>✅ Max Drawdown &lt;15%: Aceptable | &lt;10%: Bueno (cuenta pérdidas consecutivas)</t>
        </is>
      </c>
    </row>
    <row r="134">
      <c r="A134" s="4" t="inlineStr"/>
    </row>
    <row r="135">
      <c r="A135" s="4" t="inlineStr">
        <is>
          <t>FÓRMULA DE EXPECTANCY:</t>
        </is>
      </c>
    </row>
    <row r="136">
      <c r="A136" s="4" t="inlineStr">
        <is>
          <t>E = (Win% × Avg_Win_R) - (Loss% × Avg_Loss_R)</t>
        </is>
      </c>
    </row>
    <row r="137">
      <c r="A137" s="4" t="inlineStr">
        <is>
          <t>Si E &gt; +0.5R, la estrategia es rentable a largo plazo</t>
        </is>
      </c>
    </row>
    <row r="138">
      <c r="A138" s="4" t="inlineStr"/>
    </row>
    <row r="139">
      <c r="A139" s="4" t="inlineStr">
        <is>
          <t>CONVERSIÓN A DINERO REAL:</t>
        </is>
      </c>
    </row>
    <row r="140">
      <c r="A140" s="4" t="inlineStr">
        <is>
          <t>Si E = +1.0R y riesgas $10 por trade:</t>
        </is>
      </c>
    </row>
    <row r="141">
      <c r="A141" s="4" t="inlineStr">
        <is>
          <t>Ganancia mensual esperada = $10 × E × trades/mes</t>
        </is>
      </c>
    </row>
    <row r="142">
      <c r="A142" s="4" t="inlineStr">
        <is>
          <t>Ejemplo: $10 × 1.0R × 40 trades = $400/mes (con comisiones: ~$350)</t>
        </is>
      </c>
    </row>
  </sheetData>
  <mergeCells count="18">
    <mergeCell ref="A142:F142"/>
    <mergeCell ref="A129:F129"/>
    <mergeCell ref="A139:F139"/>
    <mergeCell ref="A137:F137"/>
    <mergeCell ref="A128:F128"/>
    <mergeCell ref="A116:C116"/>
    <mergeCell ref="A138:F138"/>
    <mergeCell ref="A132:F132"/>
    <mergeCell ref="A133:F133"/>
    <mergeCell ref="A141:F141"/>
    <mergeCell ref="A1:O1"/>
    <mergeCell ref="A136:F136"/>
    <mergeCell ref="A134:F134"/>
    <mergeCell ref="A135:F135"/>
    <mergeCell ref="A131:F131"/>
    <mergeCell ref="A130:F130"/>
    <mergeCell ref="A140:F14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0" t="inlineStr">
        <is>
          <t>ANÁLISIS DETALLADO POR TIER</t>
        </is>
      </c>
    </row>
    <row r="3">
      <c r="A3" s="21" t="inlineStr">
        <is>
          <t>Tier</t>
        </is>
      </c>
      <c r="B3" s="21" t="inlineStr">
        <is>
          <t>Total Trades</t>
        </is>
      </c>
      <c r="C3" s="21" t="inlineStr">
        <is>
          <t>Ganados</t>
        </is>
      </c>
      <c r="D3" s="21" t="inlineStr">
        <is>
          <t>Perdidos</t>
        </is>
      </c>
      <c r="E3" s="21" t="inlineStr">
        <is>
          <t>Win %</t>
        </is>
      </c>
      <c r="F3" s="21" t="inlineStr">
        <is>
          <t>Avg R</t>
        </is>
      </c>
    </row>
    <row r="4">
      <c r="A4" s="22" t="inlineStr">
        <is>
          <t>S</t>
        </is>
      </c>
      <c r="B4" s="22">
        <f>COUNTIF(Backtesting!D14:D113,"S")</f>
        <v/>
      </c>
      <c r="C4" s="22">
        <f>SUMIFS(Backtesting!O14:O113,Backtesting!D14:D113,"S")</f>
        <v/>
      </c>
      <c r="D4" s="22">
        <f>B4-C4</f>
        <v/>
      </c>
      <c r="E4" s="23">
        <f>IF(B4=0,0,(C4/B4)*100)</f>
        <v/>
      </c>
      <c r="F4" s="24">
        <f>AVERAGEIFS(Backtesting!N14:N113,Backtesting!D14:D113,"S")</f>
        <v/>
      </c>
    </row>
    <row r="5">
      <c r="A5" s="22" t="inlineStr">
        <is>
          <t>A</t>
        </is>
      </c>
      <c r="B5" s="22">
        <f>COUNTIF(Backtesting!D14:D113,"A")</f>
        <v/>
      </c>
      <c r="C5" s="22">
        <f>SUMIFS(Backtesting!O14:O113,Backtesting!D14:D113,"A")</f>
        <v/>
      </c>
      <c r="D5" s="22">
        <f>B5-C5</f>
        <v/>
      </c>
      <c r="E5" s="23">
        <f>IF(B5=0,0,(C5/B5)*100)</f>
        <v/>
      </c>
      <c r="F5" s="24">
        <f>AVERAGEIFS(Backtesting!N14:N113,Backtesting!D14:D113,"A")</f>
        <v/>
      </c>
    </row>
    <row r="6">
      <c r="A6" s="22" t="inlineStr">
        <is>
          <t>B</t>
        </is>
      </c>
      <c r="B6" s="22">
        <f>COUNTIF(Backtesting!D14:D113,"B")</f>
        <v/>
      </c>
      <c r="C6" s="22">
        <f>SUMIFS(Backtesting!O14:O113,Backtesting!D14:D113,"B")</f>
        <v/>
      </c>
      <c r="D6" s="22">
        <f>B6-C6</f>
        <v/>
      </c>
      <c r="E6" s="23">
        <f>IF(B6=0,0,(C6/B6)*100)</f>
        <v/>
      </c>
      <c r="F6" s="24">
        <f>AVERAGEIFS(Backtesting!N14:N113,Backtesting!D14:D113,"B")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2026-04-09T21:45:12Z</dcterms:created>
  <dcterms:modified xmlns:dcterms="http://purl.org/dc/terms/" xmlns:xsi="http://www.w3.org/2001/XMLSchema-instance" xsi:type="dcterms:W3CDTF">2026-04-09T21:45:12Z</dcterms:modified>
</cp:coreProperties>
</file>